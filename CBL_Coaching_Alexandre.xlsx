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gression" sheetId="2" state="visible" r:id="rId2"/>
    <sheet xmlns:r="http://schemas.openxmlformats.org/officeDocument/2006/relationships" name="Circuits CBL" sheetId="3" state="visible" r:id="rId3"/>
    <sheet xmlns:r="http://schemas.openxmlformats.org/officeDocument/2006/relationships" name="Plan Entraînement" sheetId="4" state="visible" r:id="rId4"/>
    <sheet xmlns:r="http://schemas.openxmlformats.org/officeDocument/2006/relationships" name="Log Séances" sheetId="5" state="visible" r:id="rId5"/>
    <sheet xmlns:r="http://schemas.openxmlformats.org/officeDocument/2006/relationships" name="Prépa Compét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&quot;%&quot;"/>
    <numFmt numFmtId="166" formatCode="yyyy-mm-dd h:mm:ss"/>
  </numFmts>
  <fonts count="28">
    <font>
      <name val="Calibri"/>
      <family val="2"/>
      <color theme="1"/>
      <sz val="11"/>
      <scheme val="minor"/>
    </font>
    <font>
      <name val="Space Grotesk"/>
      <b val="1"/>
      <color rgb="0000D4FF"/>
      <sz val="16"/>
    </font>
    <font>
      <name val="Space Grotesk"/>
      <color rgb="FF888888"/>
      <sz val="9"/>
    </font>
    <font>
      <name val="Space Grotesk"/>
      <b val="1"/>
      <color rgb="0000D4FF"/>
      <sz val="18"/>
    </font>
    <font>
      <name val="Space Grotesk"/>
      <b val="1"/>
      <color rgb="FF00D4FF"/>
      <sz val="10"/>
    </font>
    <font>
      <name val="Space Grotesk"/>
      <b val="1"/>
      <color rgb="FFF0F0F0"/>
      <sz val="10"/>
    </font>
    <font>
      <name val="Space Grotesk"/>
      <color rgb="FFF0F0F0"/>
      <sz val="10"/>
    </font>
    <font>
      <name val="Space Grotesk"/>
      <color rgb="FF888888"/>
      <sz val="10"/>
    </font>
    <font>
      <name val="Space Grotesk"/>
      <color rgb="FFFF9500"/>
      <sz val="10"/>
    </font>
    <font>
      <name val="Space Grotesk"/>
      <b val="1"/>
      <color rgb="FF00D47A"/>
      <sz val="10"/>
    </font>
    <font>
      <name val="Space Grotesk"/>
      <color rgb="FF00D4FF"/>
      <sz val="10"/>
    </font>
    <font>
      <name val="Space Grotesk"/>
      <b val="1"/>
      <color rgb="FFF0F0F0"/>
      <sz val="11"/>
    </font>
    <font>
      <name val="Space Grotesk"/>
      <b val="1"/>
      <color rgb="FF00D47A"/>
      <sz val="14"/>
    </font>
    <font>
      <name val="Space Grotesk"/>
      <b val="1"/>
      <color rgb="FFFF9500"/>
      <sz val="10"/>
    </font>
    <font>
      <name val="Space Grotesk"/>
      <b val="1"/>
      <color rgb="FFFF9500"/>
      <sz val="14"/>
    </font>
    <font>
      <name val="Space Grotesk"/>
      <i val="1"/>
      <color rgb="FF888888"/>
      <sz val="9"/>
    </font>
    <font>
      <name val="Space Grotesk"/>
      <color rgb="FFFF3D3D"/>
      <sz val="10"/>
    </font>
    <font>
      <name val="Space Grotesk"/>
      <b val="1"/>
      <color rgb="FFFF3D3D"/>
      <sz val="14"/>
    </font>
    <font>
      <name val="Space Grotesk"/>
      <b val="1"/>
      <color rgb="FF00D4FF"/>
      <sz val="11"/>
    </font>
    <font>
      <name val="Space Grotesk"/>
      <i val="1"/>
      <color rgb="FFF0F0F0"/>
      <sz val="10"/>
    </font>
    <font>
      <name val="Space Grotesk"/>
      <b val="1"/>
      <color rgb="FFFF9500"/>
      <sz val="11"/>
    </font>
    <font>
      <name val="Space Grotesk"/>
      <b val="1"/>
      <color rgb="FFFF3D3D"/>
      <sz val="11"/>
    </font>
    <font>
      <name val="Space Grotesk"/>
      <b val="1"/>
      <color rgb="FFFF3D3D"/>
      <sz val="10"/>
    </font>
    <font>
      <name val="Space Grotesk"/>
      <color rgb="FF444444"/>
      <sz val="10"/>
    </font>
    <font>
      <name val="Space Grotesk"/>
      <color rgb="FF00D47A"/>
      <sz val="10"/>
    </font>
    <font>
      <name val="Space Grotesk"/>
      <b val="1"/>
      <color rgb="FFF0F0F0"/>
      <sz val="14"/>
    </font>
    <font>
      <name val="Space Grotesk"/>
      <b val="1"/>
      <color rgb="FF888888"/>
      <sz val="10"/>
    </font>
    <font>
      <name val="Space Grotesk"/>
      <b val="1"/>
      <color rgb="00FF3D3D"/>
      <sz val="18"/>
    </font>
  </fonts>
  <fills count="5">
    <fill>
      <patternFill/>
    </fill>
    <fill>
      <patternFill patternType="gray125"/>
    </fill>
    <fill>
      <patternFill patternType="solid">
        <fgColor rgb="FF0A0A0A"/>
      </patternFill>
    </fill>
    <fill>
      <patternFill patternType="solid">
        <fgColor rgb="FF1A1A1A"/>
      </patternFill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2" fillId="2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165" fontId="10" fillId="3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3" borderId="1" applyAlignment="1" pivotButton="0" quotePrefix="0" xfId="0">
      <alignment horizontal="center" vertical="center"/>
    </xf>
    <xf numFmtId="0" fontId="5" fillId="2" borderId="0" pivotButton="0" quotePrefix="0" xfId="0"/>
    <xf numFmtId="164" fontId="22" fillId="3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13" fillId="2" borderId="0" pivotButton="0" quotePrefix="0" xfId="0"/>
    <xf numFmtId="0" fontId="13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2" customHeight="1">
      <c r="A2" s="1" t="n"/>
      <c r="B2" s="2" t="inlineStr">
        <is>
          <t>CBL COACHING — ALEXANDRE MAFILLE</t>
        </is>
      </c>
      <c r="M2" s="1" t="n"/>
      <c r="N2" s="3" t="inlineStr">
        <is>
          <t>149 JOURS</t>
        </is>
      </c>
      <c r="Q2" s="1" t="n"/>
      <c r="R2" s="1" t="n"/>
      <c r="S2" s="1" t="n"/>
    </row>
    <row r="3" ht="20" customHeight="1">
      <c r="A3" s="1" t="n"/>
      <c r="B3" s="4" t="inlineStr">
        <is>
          <t>Objectif: Niveau Espoir (Div 3) | Plan: 12 semaines | Baseline: 2026-04-04</t>
        </is>
      </c>
      <c r="M3" s="1" t="n"/>
      <c r="N3" s="5" t="inlineStr">
        <is>
          <t>avant la compétition</t>
        </is>
      </c>
      <c r="Q3" s="1" t="n"/>
      <c r="R3" s="1" t="n"/>
      <c r="S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22" customHeight="1">
      <c r="A5" s="1" t="n"/>
      <c r="B5" s="6" t="inlineStr">
        <is>
          <t>PERFORMANCES ACTUELLES → OBJECTIFS 3 MOIS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22" customHeight="1">
      <c r="A6" s="1" t="n"/>
      <c r="B6" s="7" t="inlineStr">
        <is>
          <t>Mouvement</t>
        </is>
      </c>
      <c r="C6" s="8" t="inlineStr">
        <is>
          <t>Baseline</t>
        </is>
      </c>
      <c r="D6" s="8" t="inlineStr">
        <is>
          <t>Objectif S4</t>
        </is>
      </c>
      <c r="E6" s="8" t="inlineStr">
        <is>
          <t>Objectif S8</t>
        </is>
      </c>
      <c r="F6" s="8" t="inlineStr">
        <is>
          <t>Objectif S12</t>
        </is>
      </c>
      <c r="G6" s="8" t="inlineStr">
        <is>
          <t>Test récent</t>
        </is>
      </c>
      <c r="H6" s="8" t="inlineStr">
        <is>
          <t>Progression</t>
        </is>
      </c>
      <c r="I6" s="8" t="inlineStr">
        <is>
          <t>Statut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20" customHeight="1">
      <c r="A7" s="1" t="n"/>
      <c r="B7" s="9" t="inlineStr">
        <is>
          <t>Tractions</t>
        </is>
      </c>
      <c r="C7" s="10" t="n">
        <v>23</v>
      </c>
      <c r="D7" s="11" t="n">
        <v>25</v>
      </c>
      <c r="E7" s="12" t="n">
        <v>28</v>
      </c>
      <c r="F7" s="13" t="n">
        <v>30</v>
      </c>
      <c r="G7" s="14">
        <f>IFERROR(MAX(Progression!B9:Z9),"-")</f>
        <v/>
      </c>
      <c r="H7" s="15">
        <f>IFERROR(ROUND((G7-C7)/(G7-C7)*100,0)&amp;"%","-")</f>
        <v/>
      </c>
      <c r="I7" s="16">
        <f>IFERROR(IF(G7&gt;=30,"✓ ATTEINT",IF(G7&gt;=28,"→ EN ROUTE","⚠ À BOOSTER")),"—")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20" customHeight="1">
      <c r="A8" s="1" t="n"/>
      <c r="B8" s="17" t="inlineStr">
        <is>
          <t>Muscle-up</t>
        </is>
      </c>
      <c r="C8" s="18" t="n">
        <v>7</v>
      </c>
      <c r="D8" s="19" t="n">
        <v>9</v>
      </c>
      <c r="E8" s="20" t="n">
        <v>10</v>
      </c>
      <c r="F8" s="7" t="n">
        <v>12</v>
      </c>
      <c r="G8" s="21">
        <f>IFERROR(MAX(Progression!B10:Z10),"-")</f>
        <v/>
      </c>
      <c r="H8" s="22">
        <f>IFERROR(ROUND((G8-C8)/(G8-C8)*100,0)&amp;"%","-")</f>
        <v/>
      </c>
      <c r="I8" s="23">
        <f>IFERROR(IF(G8&gt;=12,"✓ ATTEINT",IF(G8&gt;=10,"→ EN ROUTE","⚠ À BOOSTER")),"—")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0" customHeight="1">
      <c r="A9" s="1" t="n"/>
      <c r="B9" s="9" t="inlineStr">
        <is>
          <t>Dips</t>
        </is>
      </c>
      <c r="C9" s="10" t="n">
        <v>30</v>
      </c>
      <c r="D9" s="11" t="n">
        <v>35</v>
      </c>
      <c r="E9" s="12" t="n">
        <v>38</v>
      </c>
      <c r="F9" s="13" t="n">
        <v>40</v>
      </c>
      <c r="G9" s="14">
        <f>IFERROR(MAX(Progression!B11:Z11),"-")</f>
        <v/>
      </c>
      <c r="H9" s="15">
        <f>IFERROR(ROUND((G9-C9)/(G9-C9)*100,0)&amp;"%","-")</f>
        <v/>
      </c>
      <c r="I9" s="16">
        <f>IFERROR(IF(G9&gt;=40,"✓ ATTEINT",IF(G9&gt;=38,"→ EN ROUTE","⚠ À BOOSTER")),"—")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20" customHeight="1">
      <c r="A10" s="1" t="n"/>
      <c r="B10" s="17" t="inlineStr">
        <is>
          <t>Pompes</t>
        </is>
      </c>
      <c r="C10" s="18" t="n">
        <v>52</v>
      </c>
      <c r="D10" s="19" t="n">
        <v>58</v>
      </c>
      <c r="E10" s="20" t="n">
        <v>62</v>
      </c>
      <c r="F10" s="7" t="n">
        <v>65</v>
      </c>
      <c r="G10" s="21">
        <f>IFERROR(MAX(Progression!B12:Z12),"-")</f>
        <v/>
      </c>
      <c r="H10" s="22">
        <f>IFERROR(ROUND((G10-C10)/(G10-C10)*100,0)&amp;"%","-")</f>
        <v/>
      </c>
      <c r="I10" s="23">
        <f>IFERROR(IF(G10&gt;=65,"✓ ATTEINT",IF(G10&gt;=62,"→ EN ROUTE","⚠ À BOOSTER")),"—")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0" customHeight="1">
      <c r="A11" s="1" t="n"/>
      <c r="B11" s="9" t="inlineStr">
        <is>
          <t>Goblet @16kg</t>
        </is>
      </c>
      <c r="C11" s="10" t="n">
        <v>30</v>
      </c>
      <c r="D11" s="11" t="n">
        <v>34</v>
      </c>
      <c r="E11" s="12" t="n">
        <v>37</v>
      </c>
      <c r="F11" s="13" t="n">
        <v>40</v>
      </c>
      <c r="G11" s="14">
        <f>IFERROR(MAX(Progression!B13:Z13),"-")</f>
        <v/>
      </c>
      <c r="H11" s="15">
        <f>IFERROR(ROUND((G11-C11)/(G11-C11)*100,0)&amp;"%","-")</f>
        <v/>
      </c>
      <c r="I11" s="16">
        <f>IFERROR(IF(G11&gt;=40,"✓ ATTEINT",IF(G11&gt;=37,"→ EN ROUTE","⚠ À BOOSTER")),"—")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2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20" customHeight="1">
      <c r="A13" s="1" t="n"/>
      <c r="B13" s="6" t="inlineStr">
        <is>
          <t>SEMAINE EN COURS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20" customHeight="1">
      <c r="A14" s="1" t="n"/>
      <c r="B14" s="24" t="inlineStr">
        <is>
          <t>Semaine 1 / 12  |  Mois 1 — Base Lactique  |  04/04/2026</t>
        </is>
      </c>
      <c r="C14" s="25" t="n"/>
      <c r="D14" s="25" t="n"/>
      <c r="E14" s="25" t="n"/>
      <c r="F14" s="25" t="n"/>
      <c r="G14" s="25" t="n"/>
      <c r="H14" s="3" t="inlineStr">
        <is>
          <t>1/12</t>
        </is>
      </c>
      <c r="I14" s="25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0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20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20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</sheetData>
  <mergeCells count="6">
    <mergeCell ref="N2:P2"/>
    <mergeCell ref="B14:G14"/>
    <mergeCell ref="B3:L3"/>
    <mergeCell ref="B2:L2"/>
    <mergeCell ref="H14:I14"/>
    <mergeCell ref="N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7A"/>
    <outlinePr summaryBelow="1" summaryRight="1"/>
    <pageSetUpPr/>
  </sheetPr>
  <dimension ref="A1:S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30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A2" s="1" t="n"/>
      <c r="B2" s="26" t="inlineStr">
        <is>
          <t>SUIVI DE PROGRESSION — TESTS DE PERFORMANCE</t>
        </is>
      </c>
      <c r="N2" s="1" t="n"/>
      <c r="O2" s="1" t="n"/>
      <c r="P2" s="1" t="n"/>
      <c r="Q2" s="1" t="n"/>
      <c r="R2" s="1" t="n"/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22" customHeight="1">
      <c r="A4" s="1" t="n"/>
      <c r="B4" s="7" t="inlineStr">
        <is>
          <t>Date</t>
        </is>
      </c>
      <c r="C4" s="7" t="inlineStr">
        <is>
          <t>Semaine</t>
        </is>
      </c>
      <c r="D4" s="7" t="inlineStr">
        <is>
          <t>Label</t>
        </is>
      </c>
      <c r="E4" s="7" t="inlineStr">
        <is>
          <t>Tractions</t>
        </is>
      </c>
      <c r="F4" s="7" t="inlineStr">
        <is>
          <t>Muscle-up</t>
        </is>
      </c>
      <c r="G4" s="7" t="inlineStr">
        <is>
          <t>Dips</t>
        </is>
      </c>
      <c r="H4" s="7" t="inlineStr">
        <is>
          <t>Pompes</t>
        </is>
      </c>
      <c r="I4" s="7" t="inlineStr">
        <is>
          <t>Goblet @16kg</t>
        </is>
      </c>
      <c r="J4" s="7" t="inlineStr">
        <is>
          <t>Note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8" t="inlineStr">
        <is>
          <t>04/04/2026</t>
        </is>
      </c>
      <c r="C5" s="8" t="n">
        <v>0</v>
      </c>
      <c r="D5" s="8" t="inlineStr">
        <is>
          <t>Baseline</t>
        </is>
      </c>
      <c r="E5" s="7" t="n">
        <v>23</v>
      </c>
      <c r="F5" s="7" t="n">
        <v>7</v>
      </c>
      <c r="G5" s="7" t="n">
        <v>30</v>
      </c>
      <c r="H5" s="7" t="n">
        <v>52</v>
      </c>
      <c r="I5" s="7" t="n">
        <v>30</v>
      </c>
      <c r="J5" s="17" t="inlineStr">
        <is>
          <t>Point de départ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27" t="n"/>
      <c r="C6" s="10" t="n"/>
      <c r="D6" s="10" t="n"/>
      <c r="E6" s="10" t="n"/>
      <c r="F6" s="10" t="n"/>
      <c r="G6" s="10" t="n"/>
      <c r="H6" s="10" t="n"/>
      <c r="I6" s="10" t="n"/>
      <c r="J6" s="28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29" t="n"/>
      <c r="C7" s="18" t="n"/>
      <c r="D7" s="18" t="n"/>
      <c r="E7" s="18" t="n"/>
      <c r="F7" s="18" t="n"/>
      <c r="G7" s="18" t="n"/>
      <c r="H7" s="18" t="n"/>
      <c r="I7" s="18" t="n"/>
      <c r="J7" s="30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27" t="n"/>
      <c r="C8" s="10" t="n"/>
      <c r="D8" s="10" t="n"/>
      <c r="E8" s="10" t="n"/>
      <c r="F8" s="10" t="n"/>
      <c r="G8" s="10" t="n"/>
      <c r="H8" s="10" t="n"/>
      <c r="I8" s="10" t="n"/>
      <c r="J8" s="28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29" t="n"/>
      <c r="C9" s="18" t="n"/>
      <c r="D9" s="18" t="n"/>
      <c r="E9" s="18" t="n"/>
      <c r="F9" s="18" t="n"/>
      <c r="G9" s="18" t="n"/>
      <c r="H9" s="18" t="n"/>
      <c r="I9" s="18" t="n"/>
      <c r="J9" s="30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27" t="n"/>
      <c r="C10" s="10" t="n"/>
      <c r="D10" s="10" t="n"/>
      <c r="E10" s="10" t="n"/>
      <c r="F10" s="10" t="n"/>
      <c r="G10" s="10" t="n"/>
      <c r="H10" s="10" t="n"/>
      <c r="I10" s="10" t="n"/>
      <c r="J10" s="28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29" t="n"/>
      <c r="C11" s="18" t="n"/>
      <c r="D11" s="18" t="n"/>
      <c r="E11" s="18" t="n"/>
      <c r="F11" s="18" t="n"/>
      <c r="G11" s="18" t="n"/>
      <c r="H11" s="18" t="n"/>
      <c r="I11" s="18" t="n"/>
      <c r="J11" s="30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27" t="n"/>
      <c r="C12" s="10" t="n"/>
      <c r="D12" s="10" t="n"/>
      <c r="E12" s="10" t="n"/>
      <c r="F12" s="10" t="n"/>
      <c r="G12" s="10" t="n"/>
      <c r="H12" s="10" t="n"/>
      <c r="I12" s="10" t="n"/>
      <c r="J12" s="2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29" t="n"/>
      <c r="C13" s="18" t="n"/>
      <c r="D13" s="18" t="n"/>
      <c r="E13" s="18" t="n"/>
      <c r="F13" s="18" t="n"/>
      <c r="G13" s="18" t="n"/>
      <c r="H13" s="18" t="n"/>
      <c r="I13" s="18" t="n"/>
      <c r="J13" s="30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27" t="n"/>
      <c r="C14" s="10" t="n"/>
      <c r="D14" s="10" t="n"/>
      <c r="E14" s="10" t="n"/>
      <c r="F14" s="10" t="n"/>
      <c r="G14" s="10" t="n"/>
      <c r="H14" s="10" t="n"/>
      <c r="I14" s="10" t="n"/>
      <c r="J14" s="28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29" t="n"/>
      <c r="C15" s="18" t="n"/>
      <c r="D15" s="18" t="n"/>
      <c r="E15" s="18" t="n"/>
      <c r="F15" s="18" t="n"/>
      <c r="G15" s="18" t="n"/>
      <c r="H15" s="18" t="n"/>
      <c r="I15" s="18" t="n"/>
      <c r="J15" s="30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27" t="n"/>
      <c r="C16" s="10" t="n"/>
      <c r="D16" s="10" t="n"/>
      <c r="E16" s="10" t="n"/>
      <c r="F16" s="10" t="n"/>
      <c r="G16" s="10" t="n"/>
      <c r="H16" s="10" t="n"/>
      <c r="I16" s="10" t="n"/>
      <c r="J16" s="28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29" t="n"/>
      <c r="C17" s="18" t="n"/>
      <c r="D17" s="18" t="n"/>
      <c r="E17" s="18" t="n"/>
      <c r="F17" s="18" t="n"/>
      <c r="G17" s="18" t="n"/>
      <c r="H17" s="18" t="n"/>
      <c r="I17" s="18" t="n"/>
      <c r="J17" s="30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27" t="n"/>
      <c r="C18" s="10" t="n"/>
      <c r="D18" s="10" t="n"/>
      <c r="E18" s="10" t="n"/>
      <c r="F18" s="10" t="n"/>
      <c r="G18" s="10" t="n"/>
      <c r="H18" s="10" t="n"/>
      <c r="I18" s="10" t="n"/>
      <c r="J18" s="28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29" t="n"/>
      <c r="C19" s="18" t="n"/>
      <c r="D19" s="18" t="n"/>
      <c r="E19" s="18" t="n"/>
      <c r="F19" s="18" t="n"/>
      <c r="G19" s="18" t="n"/>
      <c r="H19" s="18" t="n"/>
      <c r="I19" s="18" t="n"/>
      <c r="J19" s="30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27" t="n"/>
      <c r="C20" s="10" t="n"/>
      <c r="D20" s="10" t="n"/>
      <c r="E20" s="10" t="n"/>
      <c r="F20" s="10" t="n"/>
      <c r="G20" s="10" t="n"/>
      <c r="H20" s="10" t="n"/>
      <c r="I20" s="10" t="n"/>
      <c r="J20" s="28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29" t="n"/>
      <c r="C21" s="18" t="n"/>
      <c r="D21" s="18" t="n"/>
      <c r="E21" s="18" t="n"/>
      <c r="F21" s="18" t="n"/>
      <c r="G21" s="18" t="n"/>
      <c r="H21" s="18" t="n"/>
      <c r="I21" s="18" t="n"/>
      <c r="J21" s="3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27" t="n"/>
      <c r="C22" s="10" t="n"/>
      <c r="D22" s="10" t="n"/>
      <c r="E22" s="10" t="n"/>
      <c r="F22" s="10" t="n"/>
      <c r="G22" s="10" t="n"/>
      <c r="H22" s="10" t="n"/>
      <c r="I22" s="10" t="n"/>
      <c r="J22" s="28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29" t="n"/>
      <c r="C23" s="18" t="n"/>
      <c r="D23" s="18" t="n"/>
      <c r="E23" s="18" t="n"/>
      <c r="F23" s="18" t="n"/>
      <c r="G23" s="18" t="n"/>
      <c r="H23" s="18" t="n"/>
      <c r="I23" s="18" t="n"/>
      <c r="J23" s="30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27" t="n"/>
      <c r="C24" s="10" t="n"/>
      <c r="D24" s="10" t="n"/>
      <c r="E24" s="10" t="n"/>
      <c r="F24" s="10" t="n"/>
      <c r="G24" s="10" t="n"/>
      <c r="H24" s="10" t="n"/>
      <c r="I24" s="10" t="n"/>
      <c r="J24" s="28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29" t="n"/>
      <c r="C25" s="18" t="n"/>
      <c r="D25" s="18" t="n"/>
      <c r="E25" s="18" t="n"/>
      <c r="F25" s="18" t="n"/>
      <c r="G25" s="18" t="n"/>
      <c r="H25" s="18" t="n"/>
      <c r="I25" s="18" t="n"/>
      <c r="J25" s="30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27" t="n"/>
      <c r="C26" s="10" t="n"/>
      <c r="D26" s="10" t="n"/>
      <c r="E26" s="10" t="n"/>
      <c r="F26" s="10" t="n"/>
      <c r="G26" s="10" t="n"/>
      <c r="H26" s="10" t="n"/>
      <c r="I26" s="10" t="n"/>
      <c r="J26" s="28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29" t="n"/>
      <c r="C27" s="18" t="n"/>
      <c r="D27" s="18" t="n"/>
      <c r="E27" s="18" t="n"/>
      <c r="F27" s="18" t="n"/>
      <c r="G27" s="18" t="n"/>
      <c r="H27" s="18" t="n"/>
      <c r="I27" s="18" t="n"/>
      <c r="J27" s="30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27" t="n"/>
      <c r="C28" s="10" t="n"/>
      <c r="D28" s="10" t="n"/>
      <c r="E28" s="10" t="n"/>
      <c r="F28" s="10" t="n"/>
      <c r="G28" s="10" t="n"/>
      <c r="H28" s="10" t="n"/>
      <c r="I28" s="10" t="n"/>
      <c r="J28" s="28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29" t="n"/>
      <c r="C29" s="18" t="n"/>
      <c r="D29" s="18" t="n"/>
      <c r="E29" s="18" t="n"/>
      <c r="F29" s="18" t="n"/>
      <c r="G29" s="18" t="n"/>
      <c r="H29" s="18" t="n"/>
      <c r="I29" s="18" t="n"/>
      <c r="J29" s="30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27" t="n"/>
      <c r="C30" s="10" t="n"/>
      <c r="D30" s="10" t="n"/>
      <c r="E30" s="10" t="n"/>
      <c r="F30" s="10" t="n"/>
      <c r="G30" s="10" t="n"/>
      <c r="H30" s="10" t="n"/>
      <c r="I30" s="10" t="n"/>
      <c r="J30" s="28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29" t="n"/>
      <c r="C31" s="18" t="n"/>
      <c r="D31" s="18" t="n"/>
      <c r="E31" s="18" t="n"/>
      <c r="F31" s="18" t="n"/>
      <c r="G31" s="18" t="n"/>
      <c r="H31" s="18" t="n"/>
      <c r="I31" s="18" t="n"/>
      <c r="J31" s="30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27" t="n"/>
      <c r="C32" s="10" t="n"/>
      <c r="D32" s="10" t="n"/>
      <c r="E32" s="10" t="n"/>
      <c r="F32" s="10" t="n"/>
      <c r="G32" s="10" t="n"/>
      <c r="H32" s="10" t="n"/>
      <c r="I32" s="10" t="n"/>
      <c r="J32" s="28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29" t="n"/>
      <c r="C33" s="18" t="n"/>
      <c r="D33" s="18" t="n"/>
      <c r="E33" s="18" t="n"/>
      <c r="F33" s="18" t="n"/>
      <c r="G33" s="18" t="n"/>
      <c r="H33" s="18" t="n"/>
      <c r="I33" s="18" t="n"/>
      <c r="J33" s="30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27" t="n"/>
      <c r="C34" s="10" t="n"/>
      <c r="D34" s="10" t="n"/>
      <c r="E34" s="10" t="n"/>
      <c r="F34" s="10" t="n"/>
      <c r="G34" s="10" t="n"/>
      <c r="H34" s="10" t="n"/>
      <c r="I34" s="10" t="n"/>
      <c r="J34" s="28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29" t="n"/>
      <c r="C35" s="18" t="n"/>
      <c r="D35" s="18" t="n"/>
      <c r="E35" s="18" t="n"/>
      <c r="F35" s="18" t="n"/>
      <c r="G35" s="18" t="n"/>
      <c r="H35" s="18" t="n"/>
      <c r="I35" s="18" t="n"/>
      <c r="J35" s="30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27" t="n"/>
      <c r="C36" s="10" t="n"/>
      <c r="D36" s="10" t="n"/>
      <c r="E36" s="10" t="n"/>
      <c r="F36" s="10" t="n"/>
      <c r="G36" s="10" t="n"/>
      <c r="H36" s="10" t="n"/>
      <c r="I36" s="10" t="n"/>
      <c r="J36" s="28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29" t="n"/>
      <c r="C37" s="18" t="n"/>
      <c r="D37" s="18" t="n"/>
      <c r="E37" s="18" t="n"/>
      <c r="F37" s="18" t="n"/>
      <c r="G37" s="18" t="n"/>
      <c r="H37" s="18" t="n"/>
      <c r="I37" s="18" t="n"/>
      <c r="J37" s="30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27" t="n"/>
      <c r="C38" s="10" t="n"/>
      <c r="D38" s="10" t="n"/>
      <c r="E38" s="10" t="n"/>
      <c r="F38" s="10" t="n"/>
      <c r="G38" s="10" t="n"/>
      <c r="H38" s="10" t="n"/>
      <c r="I38" s="10" t="n"/>
      <c r="J38" s="28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29" t="n"/>
      <c r="C39" s="18" t="n"/>
      <c r="D39" s="18" t="n"/>
      <c r="E39" s="18" t="n"/>
      <c r="F39" s="18" t="n"/>
      <c r="G39" s="18" t="n"/>
      <c r="H39" s="18" t="n"/>
      <c r="I39" s="18" t="n"/>
      <c r="J39" s="30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27" t="n"/>
      <c r="C40" s="10" t="n"/>
      <c r="D40" s="10" t="n"/>
      <c r="E40" s="10" t="n"/>
      <c r="F40" s="10" t="n"/>
      <c r="G40" s="10" t="n"/>
      <c r="H40" s="10" t="n"/>
      <c r="I40" s="10" t="n"/>
      <c r="J40" s="28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29" t="n"/>
      <c r="C41" s="18" t="n"/>
      <c r="D41" s="18" t="n"/>
      <c r="E41" s="18" t="n"/>
      <c r="F41" s="18" t="n"/>
      <c r="G41" s="18" t="n"/>
      <c r="H41" s="18" t="n"/>
      <c r="I41" s="18" t="n"/>
      <c r="J41" s="30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27" t="n"/>
      <c r="C42" s="10" t="n"/>
      <c r="D42" s="10" t="n"/>
      <c r="E42" s="10" t="n"/>
      <c r="F42" s="10" t="n"/>
      <c r="G42" s="10" t="n"/>
      <c r="H42" s="10" t="n"/>
      <c r="I42" s="10" t="n"/>
      <c r="J42" s="28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29" t="n"/>
      <c r="C43" s="18" t="n"/>
      <c r="D43" s="18" t="n"/>
      <c r="E43" s="18" t="n"/>
      <c r="F43" s="18" t="n"/>
      <c r="G43" s="18" t="n"/>
      <c r="H43" s="18" t="n"/>
      <c r="I43" s="18" t="n"/>
      <c r="J43" s="30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27" t="n"/>
      <c r="C44" s="10" t="n"/>
      <c r="D44" s="10" t="n"/>
      <c r="E44" s="10" t="n"/>
      <c r="F44" s="10" t="n"/>
      <c r="G44" s="10" t="n"/>
      <c r="H44" s="10" t="n"/>
      <c r="I44" s="10" t="n"/>
      <c r="J44" s="28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29" t="n"/>
      <c r="C45" s="18" t="n"/>
      <c r="D45" s="18" t="n"/>
      <c r="E45" s="18" t="n"/>
      <c r="F45" s="18" t="n"/>
      <c r="G45" s="18" t="n"/>
      <c r="H45" s="18" t="n"/>
      <c r="I45" s="18" t="n"/>
      <c r="J45" s="30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27" t="n"/>
      <c r="C46" s="10" t="n"/>
      <c r="D46" s="10" t="n"/>
      <c r="E46" s="10" t="n"/>
      <c r="F46" s="10" t="n"/>
      <c r="G46" s="10" t="n"/>
      <c r="H46" s="10" t="n"/>
      <c r="I46" s="10" t="n"/>
      <c r="J46" s="28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29" t="n"/>
      <c r="C47" s="18" t="n"/>
      <c r="D47" s="18" t="n"/>
      <c r="E47" s="18" t="n"/>
      <c r="F47" s="18" t="n"/>
      <c r="G47" s="18" t="n"/>
      <c r="H47" s="18" t="n"/>
      <c r="I47" s="18" t="n"/>
      <c r="J47" s="30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27" t="n"/>
      <c r="C48" s="10" t="n"/>
      <c r="D48" s="10" t="n"/>
      <c r="E48" s="10" t="n"/>
      <c r="F48" s="10" t="n"/>
      <c r="G48" s="10" t="n"/>
      <c r="H48" s="10" t="n"/>
      <c r="I48" s="10" t="n"/>
      <c r="J48" s="28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29" t="n"/>
      <c r="C49" s="18" t="n"/>
      <c r="D49" s="18" t="n"/>
      <c r="E49" s="18" t="n"/>
      <c r="F49" s="18" t="n"/>
      <c r="G49" s="18" t="n"/>
      <c r="H49" s="18" t="n"/>
      <c r="I49" s="18" t="n"/>
      <c r="J49" s="30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27" t="n"/>
      <c r="C50" s="10" t="n"/>
      <c r="D50" s="10" t="n"/>
      <c r="E50" s="10" t="n"/>
      <c r="F50" s="10" t="n"/>
      <c r="G50" s="10" t="n"/>
      <c r="H50" s="10" t="n"/>
      <c r="I50" s="10" t="n"/>
      <c r="J50" s="28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29" t="n"/>
      <c r="C51" s="18" t="n"/>
      <c r="D51" s="18" t="n"/>
      <c r="E51" s="18" t="n"/>
      <c r="F51" s="18" t="n"/>
      <c r="G51" s="18" t="n"/>
      <c r="H51" s="18" t="n"/>
      <c r="I51" s="18" t="n"/>
      <c r="J51" s="30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27" t="n"/>
      <c r="C52" s="10" t="n"/>
      <c r="D52" s="10" t="n"/>
      <c r="E52" s="10" t="n"/>
      <c r="F52" s="10" t="n"/>
      <c r="G52" s="10" t="n"/>
      <c r="H52" s="10" t="n"/>
      <c r="I52" s="10" t="n"/>
      <c r="J52" s="28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29" t="n"/>
      <c r="C53" s="18" t="n"/>
      <c r="D53" s="18" t="n"/>
      <c r="E53" s="18" t="n"/>
      <c r="F53" s="18" t="n"/>
      <c r="G53" s="18" t="n"/>
      <c r="H53" s="18" t="n"/>
      <c r="I53" s="18" t="n"/>
      <c r="J53" s="30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27" t="n"/>
      <c r="C54" s="10" t="n"/>
      <c r="D54" s="10" t="n"/>
      <c r="E54" s="10" t="n"/>
      <c r="F54" s="10" t="n"/>
      <c r="G54" s="10" t="n"/>
      <c r="H54" s="10" t="n"/>
      <c r="I54" s="10" t="n"/>
      <c r="J54" s="28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29" t="n"/>
      <c r="C55" s="18" t="n"/>
      <c r="D55" s="18" t="n"/>
      <c r="E55" s="18" t="n"/>
      <c r="F55" s="18" t="n"/>
      <c r="G55" s="18" t="n"/>
      <c r="H55" s="18" t="n"/>
      <c r="I55" s="18" t="n"/>
      <c r="J55" s="30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6" t="inlineStr">
        <is>
          <t>OBJECTIFS DE RÉFÉRENCE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31" t="inlineStr">
        <is>
          <t>Mouvement</t>
        </is>
      </c>
      <c r="C59" s="31" t="inlineStr">
        <is>
          <t>S4</t>
        </is>
      </c>
      <c r="D59" s="31" t="inlineStr">
        <is>
          <t>S8</t>
        </is>
      </c>
      <c r="E59" s="31" t="inlineStr">
        <is>
          <t>S12 (cible)</t>
        </is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28" t="inlineStr">
        <is>
          <t>Tractions</t>
        </is>
      </c>
      <c r="C60" s="11" t="n">
        <v>25</v>
      </c>
      <c r="D60" s="12" t="n">
        <v>28</v>
      </c>
      <c r="E60" s="13" t="n">
        <v>30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30" t="inlineStr">
        <is>
          <t>Muscle-up</t>
        </is>
      </c>
      <c r="C61" s="19" t="n">
        <v>9</v>
      </c>
      <c r="D61" s="20" t="n">
        <v>10</v>
      </c>
      <c r="E61" s="7" t="n">
        <v>12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28" t="inlineStr">
        <is>
          <t>Dips</t>
        </is>
      </c>
      <c r="C62" s="11" t="n">
        <v>35</v>
      </c>
      <c r="D62" s="12" t="n">
        <v>38</v>
      </c>
      <c r="E62" s="13" t="n">
        <v>40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30" t="inlineStr">
        <is>
          <t>Pompes</t>
        </is>
      </c>
      <c r="C63" s="19" t="n">
        <v>58</v>
      </c>
      <c r="D63" s="20" t="n">
        <v>62</v>
      </c>
      <c r="E63" s="7" t="n">
        <v>65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28" t="inlineStr">
        <is>
          <t>Goblet @16kg</t>
        </is>
      </c>
      <c r="C64" s="11" t="n">
        <v>34</v>
      </c>
      <c r="D64" s="12" t="n">
        <v>37</v>
      </c>
      <c r="E64" s="13" t="n">
        <v>40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</sheetData>
  <mergeCells count="2">
    <mergeCell ref="B58:D58"/>
    <mergeCell ref="B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500"/>
    <outlinePr summaryBelow="1" summaryRight="1"/>
    <pageSetUpPr/>
  </sheetPr>
  <dimension ref="A1:U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0" customHeight="1">
      <c r="A2" s="1" t="n"/>
      <c r="B2" s="32" t="inlineStr">
        <is>
          <t>SIMULATION CIRCUITS CBL — SUIVI DES TEMPS</t>
        </is>
      </c>
      <c r="O2" s="1" t="n"/>
      <c r="P2" s="1" t="n"/>
      <c r="Q2" s="1" t="n"/>
      <c r="R2" s="1" t="n"/>
      <c r="S2" s="1" t="n"/>
      <c r="T2" s="1" t="n"/>
      <c r="U2" s="1" t="n"/>
    </row>
    <row r="3">
      <c r="A3" s="1" t="n"/>
      <c r="B3" s="33" t="inlineStr">
        <is>
          <t>Objectif: compléter chaque circuit AVANT le Time Cap. Note tes temps et stations non finies.</t>
        </is>
      </c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22" customHeight="1">
      <c r="A5" s="1" t="n"/>
      <c r="B5" s="31" t="inlineStr">
        <is>
          <t>Date</t>
        </is>
      </c>
      <c r="C5" s="31" t="inlineStr">
        <is>
          <t>Circuit</t>
        </is>
      </c>
      <c r="D5" s="31" t="inlineStr">
        <is>
          <t>Time Cap</t>
        </is>
      </c>
      <c r="E5" s="31" t="inlineStr">
        <is>
          <t>Temps réalisé</t>
        </is>
      </c>
      <c r="F5" s="31" t="inlineStr">
        <is>
          <t>Stations ✓</t>
        </is>
      </c>
      <c r="G5" s="31" t="inlineStr">
        <is>
          <t>Stations ✗</t>
        </is>
      </c>
      <c r="H5" s="31" t="inlineStr">
        <is>
          <t>Gap vs cap</t>
        </is>
      </c>
      <c r="I5" s="31" t="inlineStr">
        <is>
          <t>% complété</t>
        </is>
      </c>
      <c r="J5" s="31" t="inlineStr">
        <is>
          <t>Note / Ressenti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27" t="inlineStr"/>
      <c r="C6" s="28" t="inlineStr">
        <is>
          <t>OQ7 Amateur 1st Round</t>
        </is>
      </c>
      <c r="D6" s="12" t="inlineStr">
        <is>
          <t>6:00</t>
        </is>
      </c>
      <c r="E6" s="10" t="inlineStr"/>
      <c r="F6" s="10" t="inlineStr"/>
      <c r="G6" s="10">
        <f>8</f>
        <v/>
      </c>
      <c r="H6" s="34">
        <f>IFERROR(E6-D6,"")</f>
        <v/>
      </c>
      <c r="I6" s="35">
        <f>IFERROR(F6/G6*100,0)</f>
        <v/>
      </c>
      <c r="J6" s="28" t="inlineStr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n"/>
      <c r="B7" s="29" t="inlineStr"/>
      <c r="C7" s="30" t="inlineStr">
        <is>
          <t>OQ7 Amateur 2nd Round</t>
        </is>
      </c>
      <c r="D7" s="20" t="inlineStr">
        <is>
          <t>6:00</t>
        </is>
      </c>
      <c r="E7" s="18" t="inlineStr"/>
      <c r="F7" s="18" t="inlineStr"/>
      <c r="G7" s="18">
        <f>9</f>
        <v/>
      </c>
      <c r="H7" s="36">
        <f>IFERROR(E7-D7,"")</f>
        <v/>
      </c>
      <c r="I7" s="37">
        <f>IFERROR(F7/G7*100,0)</f>
        <v/>
      </c>
      <c r="J7" s="30" t="inlineStr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n"/>
      <c r="B8" s="27" t="inlineStr"/>
      <c r="C8" s="28" t="inlineStr">
        <is>
          <t>OQ7 Amateur ½ Finale</t>
        </is>
      </c>
      <c r="D8" s="12" t="inlineStr">
        <is>
          <t>8:00</t>
        </is>
      </c>
      <c r="E8" s="10" t="inlineStr"/>
      <c r="F8" s="10" t="inlineStr"/>
      <c r="G8" s="10">
        <f>10</f>
        <v/>
      </c>
      <c r="H8" s="34">
        <f>IFERROR(E8-D8,"")</f>
        <v/>
      </c>
      <c r="I8" s="35">
        <f>IFERROR(F8/G8*100,0)</f>
        <v/>
      </c>
      <c r="J8" s="28" t="inlineStr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n"/>
      <c r="B9" s="29" t="inlineStr"/>
      <c r="C9" s="30" t="inlineStr">
        <is>
          <t>OQ7 Amateur Finale</t>
        </is>
      </c>
      <c r="D9" s="20" t="inlineStr">
        <is>
          <t>10:00</t>
        </is>
      </c>
      <c r="E9" s="18" t="inlineStr"/>
      <c r="F9" s="18" t="inlineStr"/>
      <c r="G9" s="18">
        <f>12</f>
        <v/>
      </c>
      <c r="H9" s="36">
        <f>IFERROR(E9-D9,"")</f>
        <v/>
      </c>
      <c r="I9" s="37">
        <f>IFERROR(F9/G9*100,0)</f>
        <v/>
      </c>
      <c r="J9" s="30" t="inlineStr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n"/>
      <c r="B10" s="27" t="inlineStr"/>
      <c r="C10" s="28" t="inlineStr">
        <is>
          <t>Premiers Pas 1er Tour</t>
        </is>
      </c>
      <c r="D10" s="12" t="inlineStr">
        <is>
          <t>6:00</t>
        </is>
      </c>
      <c r="E10" s="10" t="inlineStr"/>
      <c r="F10" s="10" t="inlineStr"/>
      <c r="G10" s="10">
        <f>8</f>
        <v/>
      </c>
      <c r="H10" s="34">
        <f>IFERROR(E10-D10,"")</f>
        <v/>
      </c>
      <c r="I10" s="35">
        <f>IFERROR(F10/G10*100,0)</f>
        <v/>
      </c>
      <c r="J10" s="28" t="inlineStr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29" t="inlineStr"/>
      <c r="C11" s="30" t="inlineStr">
        <is>
          <t>Premiers Pas 2e Tour</t>
        </is>
      </c>
      <c r="D11" s="20" t="inlineStr">
        <is>
          <t>6:00</t>
        </is>
      </c>
      <c r="E11" s="18" t="inlineStr"/>
      <c r="F11" s="18" t="inlineStr"/>
      <c r="G11" s="18">
        <f>7</f>
        <v/>
      </c>
      <c r="H11" s="36">
        <f>IFERROR(E11-D11,"")</f>
        <v/>
      </c>
      <c r="I11" s="37">
        <f>IFERROR(F11/G11*100,0)</f>
        <v/>
      </c>
      <c r="J11" s="30" t="inlineStr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27" t="inlineStr"/>
      <c r="C12" s="28" t="inlineStr">
        <is>
          <t>WOD Espoir (Div3)</t>
        </is>
      </c>
      <c r="D12" s="12" t="inlineStr">
        <is>
          <t>8:00</t>
        </is>
      </c>
      <c r="E12" s="10" t="inlineStr"/>
      <c r="F12" s="10" t="inlineStr"/>
      <c r="G12" s="10">
        <f>9</f>
        <v/>
      </c>
      <c r="H12" s="34">
        <f>IFERROR(E12-D12,"")</f>
        <v/>
      </c>
      <c r="I12" s="35">
        <f>IFERROR(F12/G12*100,0)</f>
        <v/>
      </c>
      <c r="J12" s="28" t="inlineStr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6" t="inlineStr">
        <is>
          <t>DÉTAIL CIRCUITS — RÉFÉRENCE</t>
        </is>
      </c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38" t="inlineStr">
        <is>
          <t>OQ7 Amateur 1st Round — Time Cap 6'</t>
        </is>
      </c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39" t="inlineStr">
        <is>
          <t>1</t>
        </is>
      </c>
      <c r="C20" s="40" t="inlineStr">
        <is>
          <t>1 Muscle-up + 10 Push-up</t>
        </is>
      </c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39" t="inlineStr">
        <is>
          <t>2</t>
        </is>
      </c>
      <c r="C21" s="40" t="inlineStr">
        <is>
          <t>1 Muscle-up + 15 Push-up</t>
        </is>
      </c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39" t="inlineStr">
        <is>
          <t>3</t>
        </is>
      </c>
      <c r="C22" s="40" t="inlineStr">
        <is>
          <t>1 Muscle-up + 20 Push-up</t>
        </is>
      </c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39" t="inlineStr">
        <is>
          <t>4</t>
        </is>
      </c>
      <c r="C23" s="40" t="inlineStr">
        <is>
          <t>6 Pull-up + 6 Goblet @16kg</t>
        </is>
      </c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39" t="inlineStr">
        <is>
          <t>5</t>
        </is>
      </c>
      <c r="C24" s="40" t="inlineStr">
        <is>
          <t>8 Pull-up + 9 Goblet @16kg</t>
        </is>
      </c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39" t="inlineStr">
        <is>
          <t>6</t>
        </is>
      </c>
      <c r="C25" s="40" t="inlineStr">
        <is>
          <t>10 Pull-up + 12 Goblet @16kg</t>
        </is>
      </c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39" t="inlineStr">
        <is>
          <t>7</t>
        </is>
      </c>
      <c r="C26" s="40" t="inlineStr">
        <is>
          <t>8 Pull-up + 9 Goblet @16kg</t>
        </is>
      </c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39" t="inlineStr">
        <is>
          <t>8</t>
        </is>
      </c>
      <c r="C27" s="40" t="inlineStr">
        <is>
          <t>6 Pull-up + 6 Goblet @16kg</t>
        </is>
      </c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38" t="inlineStr">
        <is>
          <t>OQ7 Amateur 2nd Round — Time Cap 6'</t>
        </is>
      </c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39" t="inlineStr">
        <is>
          <t>1</t>
        </is>
      </c>
      <c r="C30" s="40" t="inlineStr">
        <is>
          <t>5 Chest Pull @5kg</t>
        </is>
      </c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39" t="inlineStr">
        <is>
          <t>2</t>
        </is>
      </c>
      <c r="C31" s="40" t="inlineStr">
        <is>
          <t>1 Muscle-up</t>
        </is>
      </c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39" t="inlineStr">
        <is>
          <t>3</t>
        </is>
      </c>
      <c r="C32" s="40" t="inlineStr">
        <is>
          <t>15 Dips</t>
        </is>
      </c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39" t="inlineStr">
        <is>
          <t>4</t>
        </is>
      </c>
      <c r="C33" s="40" t="inlineStr">
        <is>
          <t>12 Dips @10kg</t>
        </is>
      </c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39" t="inlineStr">
        <is>
          <t>5</t>
        </is>
      </c>
      <c r="C34" s="40" t="inlineStr">
        <is>
          <t>9 Dips @20kg</t>
        </is>
      </c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39" t="inlineStr">
        <is>
          <t>6</t>
        </is>
      </c>
      <c r="C35" s="40" t="inlineStr">
        <is>
          <t>12 Pull-up</t>
        </is>
      </c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39" t="inlineStr">
        <is>
          <t>7</t>
        </is>
      </c>
      <c r="C36" s="40" t="inlineStr">
        <is>
          <t>9 Pull-up @5kg</t>
        </is>
      </c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39" t="inlineStr">
        <is>
          <t>8</t>
        </is>
      </c>
      <c r="C37" s="40" t="inlineStr">
        <is>
          <t>6 Pull-up @10kg</t>
        </is>
      </c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39" t="inlineStr">
        <is>
          <t>9</t>
        </is>
      </c>
      <c r="C38" s="40" t="inlineStr">
        <is>
          <t>3 Pull-up @15kg</t>
        </is>
      </c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38" t="inlineStr">
        <is>
          <t>WOD Espoir (objectif) — Time Cap 8'</t>
        </is>
      </c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39" t="inlineStr">
        <is>
          <t>1</t>
        </is>
      </c>
      <c r="C41" s="40" t="inlineStr">
        <is>
          <t>1 MU + 10 Single Bar Dips + 5 Pull-up</t>
        </is>
      </c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39" t="inlineStr">
        <is>
          <t>2</t>
        </is>
      </c>
      <c r="C42" s="40" t="inlineStr">
        <is>
          <t>30 Dips</t>
        </is>
      </c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39" t="inlineStr">
        <is>
          <t>3</t>
        </is>
      </c>
      <c r="C43" s="40" t="inlineStr">
        <is>
          <t>15 Squat @40kg</t>
        </is>
      </c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39" t="inlineStr">
        <is>
          <t>4</t>
        </is>
      </c>
      <c r="C44" s="40" t="inlineStr">
        <is>
          <t>10 Pull-up @5kg</t>
        </is>
      </c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39" t="inlineStr">
        <is>
          <t>5</t>
        </is>
      </c>
      <c r="C45" s="40" t="inlineStr">
        <is>
          <t>20 Dips @10kg</t>
        </is>
      </c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39" t="inlineStr">
        <is>
          <t>6</t>
        </is>
      </c>
      <c r="C46" s="40" t="inlineStr">
        <is>
          <t>15 Squat @40kg</t>
        </is>
      </c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39" t="inlineStr">
        <is>
          <t>7</t>
        </is>
      </c>
      <c r="C47" s="40" t="inlineStr">
        <is>
          <t>10 Dips @20kg</t>
        </is>
      </c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39" t="inlineStr">
        <is>
          <t>8</t>
        </is>
      </c>
      <c r="C48" s="40" t="inlineStr">
        <is>
          <t>1 MU ou 4 Chest Pull</t>
        </is>
      </c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39" t="inlineStr">
        <is>
          <t>9</t>
        </is>
      </c>
      <c r="C49" s="40" t="inlineStr">
        <is>
          <t>15 Pull-up</t>
        </is>
      </c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</sheetData>
  <mergeCells count="32">
    <mergeCell ref="C47:N47"/>
    <mergeCell ref="C25:N25"/>
    <mergeCell ref="C41:N41"/>
    <mergeCell ref="B40:N40"/>
    <mergeCell ref="C31:N31"/>
    <mergeCell ref="C44:N44"/>
    <mergeCell ref="C22:N22"/>
    <mergeCell ref="C21:N21"/>
    <mergeCell ref="C43:N43"/>
    <mergeCell ref="C46:N46"/>
    <mergeCell ref="C27:N27"/>
    <mergeCell ref="C36:N36"/>
    <mergeCell ref="C23:N23"/>
    <mergeCell ref="C48:N48"/>
    <mergeCell ref="B3:N3"/>
    <mergeCell ref="C32:N32"/>
    <mergeCell ref="C38:N38"/>
    <mergeCell ref="C37:N37"/>
    <mergeCell ref="B18:N18"/>
    <mergeCell ref="B2:N2"/>
    <mergeCell ref="C49:N49"/>
    <mergeCell ref="C30:N30"/>
    <mergeCell ref="C34:N34"/>
    <mergeCell ref="C24:N24"/>
    <mergeCell ref="C42:N42"/>
    <mergeCell ref="C33:N33"/>
    <mergeCell ref="C45:N45"/>
    <mergeCell ref="B29:N29"/>
    <mergeCell ref="C26:N26"/>
    <mergeCell ref="B19:N19"/>
    <mergeCell ref="C35:N35"/>
    <mergeCell ref="C20:N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D3D"/>
    <outlinePr summaryBelow="1" summaryRight="1"/>
    <pageSetUpPr/>
  </sheetPr>
  <dimension ref="A1:S9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30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A2" s="1" t="n"/>
      <c r="B2" s="41" t="inlineStr">
        <is>
          <t>PLAN 3 MOIS — CALISTHENICS BATTLE LEAGUE</t>
        </is>
      </c>
      <c r="N2" s="1" t="n"/>
      <c r="O2" s="1" t="n"/>
      <c r="P2" s="1" t="n"/>
      <c r="Q2" s="1" t="n"/>
      <c r="R2" s="1" t="n"/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24" customHeight="1">
      <c r="A4" s="1" t="n"/>
      <c r="B4" s="42" t="inlineStr">
        <is>
          <t>MOIS 1 — BASE LACTIQUE</t>
        </is>
      </c>
      <c r="D4" s="43" t="inlineStr">
        <is>
          <t>Sem 1–4</t>
        </is>
      </c>
      <c r="E4" s="44" t="inlineStr">
        <is>
          <t>Construire la tolérance lactique et le volume de travail</t>
        </is>
      </c>
      <c r="N4" s="1" t="n"/>
      <c r="O4" s="1" t="n"/>
      <c r="P4" s="1" t="n"/>
      <c r="Q4" s="1" t="n"/>
      <c r="R4" s="1" t="n"/>
      <c r="S4" s="1" t="n"/>
    </row>
    <row r="5" ht="24" customHeight="1">
      <c r="A5" s="1" t="n"/>
      <c r="B5" s="45" t="inlineStr">
        <is>
          <t>MOIS 2 — SPÉCIFICITÉ CBL</t>
        </is>
      </c>
      <c r="D5" s="43" t="inlineStr">
        <is>
          <t>Sem 5–8</t>
        </is>
      </c>
      <c r="E5" s="44" t="inlineStr">
        <is>
          <t>Reproduction des circuits CBL sous pression temporelle</t>
        </is>
      </c>
      <c r="N5" s="1" t="n"/>
      <c r="O5" s="1" t="n"/>
      <c r="P5" s="1" t="n"/>
      <c r="Q5" s="1" t="n"/>
      <c r="R5" s="1" t="n"/>
      <c r="S5" s="1" t="n"/>
    </row>
    <row r="6" ht="24" customHeight="1">
      <c r="A6" s="1" t="n"/>
      <c r="B6" s="46" t="inlineStr">
        <is>
          <t>MOIS 3 — PEAKING</t>
        </is>
      </c>
      <c r="D6" s="43" t="inlineStr">
        <is>
          <t>Sem 9–12</t>
        </is>
      </c>
      <c r="E6" s="44" t="inlineStr">
        <is>
          <t>Simulation compétition + décharge contrôlée (deload Sem 11-12)</t>
        </is>
      </c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22" customHeight="1">
      <c r="A8" s="1" t="n"/>
      <c r="B8" s="47" t="inlineStr">
        <is>
          <t>Sem</t>
        </is>
      </c>
      <c r="C8" s="47" t="inlineStr">
        <is>
          <t>Phase</t>
        </is>
      </c>
      <c r="D8" s="47" t="inlineStr">
        <is>
          <t>Séance 1</t>
        </is>
      </c>
      <c r="E8" s="47" t="inlineStr">
        <is>
          <t>Séance 2</t>
        </is>
      </c>
      <c r="F8" s="47" t="inlineStr">
        <is>
          <t>Séance 3</t>
        </is>
      </c>
      <c r="G8" s="47" t="inlineStr">
        <is>
          <t>Séance 4</t>
        </is>
      </c>
      <c r="H8" s="47" t="inlineStr">
        <is>
          <t>Séance 5</t>
        </is>
      </c>
      <c r="I8" s="47" t="inlineStr">
        <is>
          <t>Déload?</t>
        </is>
      </c>
      <c r="J8" s="47" t="inlineStr">
        <is>
          <t>Focus principal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0" customHeight="1">
      <c r="A9" s="1" t="n"/>
      <c r="B9" s="48" t="n">
        <v>1</v>
      </c>
      <c r="C9" s="49" t="inlineStr">
        <is>
          <t>Base Lactique</t>
        </is>
      </c>
      <c r="D9" s="28" t="inlineStr">
        <is>
          <t>Force Pull/MU</t>
        </is>
      </c>
      <c r="E9" s="28" t="inlineStr">
        <is>
          <t>Lactique Push</t>
        </is>
      </c>
      <c r="F9" s="28" t="inlineStr">
        <is>
          <t>Circuit x4</t>
        </is>
      </c>
      <c r="G9" s="28" t="inlineStr">
        <is>
          <t>Récup Active</t>
        </is>
      </c>
      <c r="H9" s="28" t="inlineStr"/>
      <c r="I9" s="50" t="inlineStr">
        <is>
          <t>-</t>
        </is>
      </c>
      <c r="J9" s="51" t="inlineStr">
        <is>
          <t>Qualité d'exécution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20" customHeight="1">
      <c r="A10" s="1" t="n"/>
      <c r="B10" s="8" t="n">
        <v>2</v>
      </c>
      <c r="C10" s="52" t="inlineStr">
        <is>
          <t>Base Lactique</t>
        </is>
      </c>
      <c r="D10" s="30" t="inlineStr">
        <is>
          <t>Force Pull/MU</t>
        </is>
      </c>
      <c r="E10" s="30" t="inlineStr">
        <is>
          <t>Lactique Push</t>
        </is>
      </c>
      <c r="F10" s="30" t="inlineStr">
        <is>
          <t>Circuit x4</t>
        </is>
      </c>
      <c r="G10" s="30" t="inlineStr">
        <is>
          <t>Récup Active</t>
        </is>
      </c>
      <c r="H10" s="30" t="inlineStr"/>
      <c r="I10" s="53" t="inlineStr">
        <is>
          <t>-</t>
        </is>
      </c>
      <c r="J10" s="54" t="inlineStr">
        <is>
          <t>Récupération entre séries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0" customHeight="1">
      <c r="A11" s="1" t="n"/>
      <c r="B11" s="48" t="n">
        <v>3</v>
      </c>
      <c r="C11" s="49" t="inlineStr">
        <is>
          <t>Base Lactique</t>
        </is>
      </c>
      <c r="D11" s="28" t="inlineStr">
        <is>
          <t>Force Pull/MU</t>
        </is>
      </c>
      <c r="E11" s="28" t="inlineStr">
        <is>
          <t>Lactique Push</t>
        </is>
      </c>
      <c r="F11" s="28" t="inlineStr">
        <is>
          <t>Circuit x5</t>
        </is>
      </c>
      <c r="G11" s="28" t="inlineStr">
        <is>
          <t>Récup Active</t>
        </is>
      </c>
      <c r="H11" s="28" t="inlineStr">
        <is>
          <t>AMRAP 6min</t>
        </is>
      </c>
      <c r="I11" s="50" t="inlineStr">
        <is>
          <t>-</t>
        </is>
      </c>
      <c r="J11" s="51" t="inlineStr">
        <is>
          <t>Tolérance lactique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20" customHeight="1">
      <c r="A12" s="1" t="n"/>
      <c r="B12" s="8" t="n">
        <v>4</v>
      </c>
      <c r="C12" s="52" t="inlineStr">
        <is>
          <t>Base Lactique</t>
        </is>
      </c>
      <c r="D12" s="30" t="inlineStr">
        <is>
          <t>Force Pull/MU</t>
        </is>
      </c>
      <c r="E12" s="30" t="inlineStr">
        <is>
          <t>Lactique Push</t>
        </is>
      </c>
      <c r="F12" s="30" t="inlineStr">
        <is>
          <t>Circuit x5</t>
        </is>
      </c>
      <c r="G12" s="30" t="inlineStr">
        <is>
          <t>Simulation légère</t>
        </is>
      </c>
      <c r="H12" s="30" t="inlineStr">
        <is>
          <t>Récup Active</t>
        </is>
      </c>
      <c r="I12" s="53" t="inlineStr">
        <is>
          <t>-</t>
        </is>
      </c>
      <c r="J12" s="54" t="inlineStr">
        <is>
          <t>Montée volume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20" customHeight="1">
      <c r="A13" s="1" t="n"/>
      <c r="B13" s="48" t="n">
        <v>5</v>
      </c>
      <c r="C13" s="12" t="inlineStr">
        <is>
          <t>Spécificité</t>
        </is>
      </c>
      <c r="D13" s="28" t="inlineStr">
        <is>
          <t>Force Max Pull</t>
        </is>
      </c>
      <c r="E13" s="28" t="inlineStr">
        <is>
          <t>Circuit CBL x2</t>
        </is>
      </c>
      <c r="F13" s="28" t="inlineStr">
        <is>
          <t>Récup Active</t>
        </is>
      </c>
      <c r="G13" s="28" t="inlineStr">
        <is>
          <t>Densité max</t>
        </is>
      </c>
      <c r="H13" s="28" t="inlineStr">
        <is>
          <t>Simulation 6min</t>
        </is>
      </c>
      <c r="I13" s="50" t="inlineStr">
        <is>
          <t>-</t>
        </is>
      </c>
      <c r="J13" s="51" t="inlineStr">
        <is>
          <t>Premier circuit CBL complet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20" customHeight="1">
      <c r="A14" s="1" t="n"/>
      <c r="B14" s="8" t="n">
        <v>6</v>
      </c>
      <c r="C14" s="20" t="inlineStr">
        <is>
          <t>Spécificité</t>
        </is>
      </c>
      <c r="D14" s="30" t="inlineStr">
        <is>
          <t>Force Max Pull</t>
        </is>
      </c>
      <c r="E14" s="30" t="inlineStr">
        <is>
          <t>Circuit CBL x2</t>
        </is>
      </c>
      <c r="F14" s="30" t="inlineStr">
        <is>
          <t>Récup Active</t>
        </is>
      </c>
      <c r="G14" s="30" t="inlineStr">
        <is>
          <t>Densité max</t>
        </is>
      </c>
      <c r="H14" s="30" t="inlineStr">
        <is>
          <t>Simulation 6min</t>
        </is>
      </c>
      <c r="I14" s="53" t="inlineStr">
        <is>
          <t>-</t>
        </is>
      </c>
      <c r="J14" s="54" t="inlineStr">
        <is>
          <t>Réduire pauses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20" customHeight="1">
      <c r="A15" s="1" t="n"/>
      <c r="B15" s="48" t="n">
        <v>7</v>
      </c>
      <c r="C15" s="12" t="inlineStr">
        <is>
          <t>Spécificité</t>
        </is>
      </c>
      <c r="D15" s="28" t="inlineStr">
        <is>
          <t>Force lestée</t>
        </is>
      </c>
      <c r="E15" s="28" t="inlineStr">
        <is>
          <t>Circuit CBL x3</t>
        </is>
      </c>
      <c r="F15" s="28" t="inlineStr">
        <is>
          <t>Récup Active</t>
        </is>
      </c>
      <c r="G15" s="28" t="inlineStr">
        <is>
          <t>Densité max</t>
        </is>
      </c>
      <c r="H15" s="28" t="inlineStr">
        <is>
          <t>Simulation x2</t>
        </is>
      </c>
      <c r="I15" s="50" t="inlineStr">
        <is>
          <t>-</t>
        </is>
      </c>
      <c r="J15" s="51" t="inlineStr">
        <is>
          <t>Circuit sans pause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0" customHeight="1">
      <c r="A16" s="1" t="n"/>
      <c r="B16" s="8" t="n">
        <v>8</v>
      </c>
      <c r="C16" s="20" t="inlineStr">
        <is>
          <t>Spécificité</t>
        </is>
      </c>
      <c r="D16" s="30" t="inlineStr">
        <is>
          <t>Force lestée</t>
        </is>
      </c>
      <c r="E16" s="30" t="inlineStr">
        <is>
          <t>Circuit CBL x3</t>
        </is>
      </c>
      <c r="F16" s="30" t="inlineStr">
        <is>
          <t>Récup Active</t>
        </is>
      </c>
      <c r="G16" s="30" t="inlineStr">
        <is>
          <t>Intensité courte</t>
        </is>
      </c>
      <c r="H16" s="30" t="inlineStr">
        <is>
          <t>Simulation x2</t>
        </is>
      </c>
      <c r="I16" s="53" t="inlineStr">
        <is>
          <t>-</t>
        </is>
      </c>
      <c r="J16" s="54" t="inlineStr">
        <is>
          <t>Set 1 + Set 2 enchaînés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0" customHeight="1">
      <c r="A17" s="1" t="n"/>
      <c r="B17" s="48" t="n">
        <v>9</v>
      </c>
      <c r="C17" s="55" t="inlineStr">
        <is>
          <t>Peaking</t>
        </is>
      </c>
      <c r="D17" s="28" t="inlineStr">
        <is>
          <t>Force Activation</t>
        </is>
      </c>
      <c r="E17" s="28" t="inlineStr">
        <is>
          <t>Simulation comp.</t>
        </is>
      </c>
      <c r="F17" s="28" t="inlineStr">
        <is>
          <t>Polissage tech.</t>
        </is>
      </c>
      <c r="G17" s="28" t="inlineStr">
        <is>
          <t>Intensité courte</t>
        </is>
      </c>
      <c r="H17" s="28" t="inlineStr">
        <is>
          <t>Récup mentale</t>
        </is>
      </c>
      <c r="I17" s="50" t="inlineStr">
        <is>
          <t>-</t>
        </is>
      </c>
      <c r="J17" s="51" t="inlineStr">
        <is>
          <t>Conditions réelles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20" customHeight="1">
      <c r="A18" s="1" t="n"/>
      <c r="B18" s="8" t="n">
        <v>10</v>
      </c>
      <c r="C18" s="56" t="inlineStr">
        <is>
          <t>Peaking</t>
        </is>
      </c>
      <c r="D18" s="30" t="inlineStr">
        <is>
          <t>Force Activation</t>
        </is>
      </c>
      <c r="E18" s="30" t="inlineStr">
        <is>
          <t>Simulation comp.</t>
        </is>
      </c>
      <c r="F18" s="30" t="inlineStr">
        <is>
          <t>Polissage tech.</t>
        </is>
      </c>
      <c r="G18" s="30" t="inlineStr">
        <is>
          <t>Intensité courte</t>
        </is>
      </c>
      <c r="H18" s="30" t="inlineStr">
        <is>
          <t>Récup mentale</t>
        </is>
      </c>
      <c r="I18" s="53" t="inlineStr">
        <is>
          <t>-</t>
        </is>
      </c>
      <c r="J18" s="54" t="inlineStr">
        <is>
          <t>Pic de forme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20" customHeight="1">
      <c r="A19" s="1" t="n"/>
      <c r="B19" s="48" t="n">
        <v>11</v>
      </c>
      <c r="C19" s="57" t="inlineStr">
        <is>
          <t>Taper</t>
        </is>
      </c>
      <c r="D19" s="28" t="inlineStr">
        <is>
          <t>Entretien léger</t>
        </is>
      </c>
      <c r="E19" s="28" t="inlineStr">
        <is>
          <t>Simulation 70%</t>
        </is>
      </c>
      <c r="F19" s="28" t="inlineStr">
        <is>
          <t>Récup totale</t>
        </is>
      </c>
      <c r="G19" s="28" t="inlineStr"/>
      <c r="H19" s="28" t="inlineStr"/>
      <c r="I19" s="57" t="inlineStr">
        <is>
          <t>OUI</t>
        </is>
      </c>
      <c r="J19" s="51" t="inlineStr">
        <is>
          <t>Décharger la fatigue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20" customHeight="1">
      <c r="A20" s="1" t="n"/>
      <c r="B20" s="8" t="n">
        <v>12</v>
      </c>
      <c r="C20" s="58" t="inlineStr">
        <is>
          <t>Taper</t>
        </is>
      </c>
      <c r="D20" s="30" t="inlineStr">
        <is>
          <t>Activation légère</t>
        </is>
      </c>
      <c r="E20" s="30" t="inlineStr">
        <is>
          <t>Feeling circuit</t>
        </is>
      </c>
      <c r="F20" s="30" t="inlineStr">
        <is>
          <t>Récup totale</t>
        </is>
      </c>
      <c r="G20" s="30" t="inlineStr"/>
      <c r="H20" s="30" t="inlineStr"/>
      <c r="I20" s="58" t="inlineStr">
        <is>
          <t>OUI</t>
        </is>
      </c>
      <c r="J20" s="54" t="inlineStr">
        <is>
          <t>Arriver frais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</sheetData>
  <mergeCells count="7">
    <mergeCell ref="B2:M2"/>
    <mergeCell ref="B6:C6"/>
    <mergeCell ref="B4:C4"/>
    <mergeCell ref="B5:C5"/>
    <mergeCell ref="E5:M5"/>
    <mergeCell ref="E4:M4"/>
    <mergeCell ref="E6:M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O1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14" customWidth="1" min="4" max="4"/>
    <col width="24" customWidth="1" min="5" max="5"/>
    <col width="14" customWidth="1" min="6" max="6"/>
    <col width="10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30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59" t="inlineStr">
        <is>
          <t>LOG DES SÉANCES — SAISIE RAPIDE</t>
        </is>
      </c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2" customHeight="1">
      <c r="A4" s="1" t="n"/>
      <c r="B4" s="60" t="inlineStr">
        <is>
          <t>Date</t>
        </is>
      </c>
      <c r="C4" s="60" t="inlineStr">
        <is>
          <t>Sem</t>
        </is>
      </c>
      <c r="D4" s="60" t="inlineStr">
        <is>
          <t>Type</t>
        </is>
      </c>
      <c r="E4" s="60" t="inlineStr">
        <is>
          <t>Nom séance</t>
        </is>
      </c>
      <c r="F4" s="60" t="inlineStr">
        <is>
          <t>Durée (min)</t>
        </is>
      </c>
      <c r="G4" s="60" t="inlineStr">
        <is>
          <t>RPE /10</t>
        </is>
      </c>
      <c r="H4" s="60" t="inlineStr">
        <is>
          <t>Tractions</t>
        </is>
      </c>
      <c r="I4" s="60" t="inlineStr">
        <is>
          <t>MU</t>
        </is>
      </c>
      <c r="J4" s="60" t="inlineStr">
        <is>
          <t>Dips</t>
        </is>
      </c>
      <c r="K4" s="60" t="inlineStr">
        <is>
          <t>Pompes</t>
        </is>
      </c>
      <c r="L4" s="60" t="inlineStr">
        <is>
          <t>Goblet</t>
        </is>
      </c>
      <c r="M4" s="60" t="inlineStr">
        <is>
          <t>Notes / Circuit</t>
        </is>
      </c>
      <c r="N4" s="1" t="n"/>
      <c r="O4" s="1" t="n"/>
    </row>
    <row r="5">
      <c r="A5" s="1" t="n"/>
      <c r="B5" s="29" t="n"/>
      <c r="C5" s="18" t="n"/>
      <c r="D5" s="18" t="n"/>
      <c r="E5" s="30" t="n"/>
      <c r="F5" s="18" t="n"/>
      <c r="G5" s="18" t="n"/>
      <c r="H5" s="18" t="n"/>
      <c r="I5" s="18" t="n"/>
      <c r="J5" s="18" t="n"/>
      <c r="K5" s="18" t="n"/>
      <c r="L5" s="18" t="n"/>
      <c r="M5" s="18" t="n"/>
      <c r="N5" s="1" t="n"/>
      <c r="O5" s="1" t="n"/>
    </row>
    <row r="6">
      <c r="A6" s="1" t="n"/>
      <c r="B6" s="27" t="n"/>
      <c r="C6" s="10" t="n"/>
      <c r="D6" s="10" t="n"/>
      <c r="E6" s="28" t="n"/>
      <c r="F6" s="10" t="n"/>
      <c r="G6" s="10" t="n"/>
      <c r="H6" s="10" t="n"/>
      <c r="I6" s="10" t="n"/>
      <c r="J6" s="10" t="n"/>
      <c r="K6" s="10" t="n"/>
      <c r="L6" s="10" t="n"/>
      <c r="M6" s="10" t="n"/>
      <c r="N6" s="1" t="n"/>
      <c r="O6" s="1" t="n"/>
    </row>
    <row r="7">
      <c r="A7" s="1" t="n"/>
      <c r="B7" s="29" t="n"/>
      <c r="C7" s="18" t="n"/>
      <c r="D7" s="18" t="n"/>
      <c r="E7" s="30" t="n"/>
      <c r="F7" s="18" t="n"/>
      <c r="G7" s="18" t="n"/>
      <c r="H7" s="18" t="n"/>
      <c r="I7" s="18" t="n"/>
      <c r="J7" s="18" t="n"/>
      <c r="K7" s="18" t="n"/>
      <c r="L7" s="18" t="n"/>
      <c r="M7" s="18" t="n"/>
      <c r="N7" s="1" t="n"/>
      <c r="O7" s="1" t="n"/>
    </row>
    <row r="8">
      <c r="A8" s="1" t="n"/>
      <c r="B8" s="27" t="n"/>
      <c r="C8" s="10" t="n"/>
      <c r="D8" s="10" t="n"/>
      <c r="E8" s="28" t="n"/>
      <c r="F8" s="10" t="n"/>
      <c r="G8" s="10" t="n"/>
      <c r="H8" s="10" t="n"/>
      <c r="I8" s="10" t="n"/>
      <c r="J8" s="10" t="n"/>
      <c r="K8" s="10" t="n"/>
      <c r="L8" s="10" t="n"/>
      <c r="M8" s="10" t="n"/>
      <c r="N8" s="1" t="n"/>
      <c r="O8" s="1" t="n"/>
    </row>
    <row r="9">
      <c r="A9" s="1" t="n"/>
      <c r="B9" s="29" t="n"/>
      <c r="C9" s="18" t="n"/>
      <c r="D9" s="18" t="n"/>
      <c r="E9" s="30" t="n"/>
      <c r="F9" s="18" t="n"/>
      <c r="G9" s="18" t="n"/>
      <c r="H9" s="18" t="n"/>
      <c r="I9" s="18" t="n"/>
      <c r="J9" s="18" t="n"/>
      <c r="K9" s="18" t="n"/>
      <c r="L9" s="18" t="n"/>
      <c r="M9" s="18" t="n"/>
      <c r="N9" s="1" t="n"/>
      <c r="O9" s="1" t="n"/>
    </row>
    <row r="10">
      <c r="A10" s="1" t="n"/>
      <c r="B10" s="27" t="n"/>
      <c r="C10" s="10" t="n"/>
      <c r="D10" s="10" t="n"/>
      <c r="E10" s="28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" t="n"/>
      <c r="O10" s="1" t="n"/>
    </row>
    <row r="11">
      <c r="A11" s="1" t="n"/>
      <c r="B11" s="29" t="n"/>
      <c r="C11" s="18" t="n"/>
      <c r="D11" s="18" t="n"/>
      <c r="E11" s="30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" t="n"/>
      <c r="O11" s="1" t="n"/>
    </row>
    <row r="12">
      <c r="A12" s="1" t="n"/>
      <c r="B12" s="27" t="n"/>
      <c r="C12" s="10" t="n"/>
      <c r="D12" s="10" t="n"/>
      <c r="E12" s="28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" t="n"/>
      <c r="O12" s="1" t="n"/>
    </row>
    <row r="13">
      <c r="A13" s="1" t="n"/>
      <c r="B13" s="29" t="n"/>
      <c r="C13" s="18" t="n"/>
      <c r="D13" s="18" t="n"/>
      <c r="E13" s="30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" t="n"/>
      <c r="O13" s="1" t="n"/>
    </row>
    <row r="14">
      <c r="A14" s="1" t="n"/>
      <c r="B14" s="27" t="n"/>
      <c r="C14" s="10" t="n"/>
      <c r="D14" s="10" t="n"/>
      <c r="E14" s="28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" t="n"/>
      <c r="O14" s="1" t="n"/>
    </row>
    <row r="15">
      <c r="A15" s="1" t="n"/>
      <c r="B15" s="29" t="n"/>
      <c r="C15" s="18" t="n"/>
      <c r="D15" s="18" t="n"/>
      <c r="E15" s="30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" t="n"/>
      <c r="O15" s="1" t="n"/>
    </row>
    <row r="16">
      <c r="A16" s="1" t="n"/>
      <c r="B16" s="27" t="n"/>
      <c r="C16" s="10" t="n"/>
      <c r="D16" s="10" t="n"/>
      <c r="E16" s="28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" t="n"/>
      <c r="O16" s="1" t="n"/>
    </row>
    <row r="17">
      <c r="A17" s="1" t="n"/>
      <c r="B17" s="29" t="n"/>
      <c r="C17" s="18" t="n"/>
      <c r="D17" s="18" t="n"/>
      <c r="E17" s="30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" t="n"/>
      <c r="O17" s="1" t="n"/>
    </row>
    <row r="18">
      <c r="A18" s="1" t="n"/>
      <c r="B18" s="27" t="n"/>
      <c r="C18" s="10" t="n"/>
      <c r="D18" s="10" t="n"/>
      <c r="E18" s="28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" t="n"/>
      <c r="O18" s="1" t="n"/>
    </row>
    <row r="19">
      <c r="A19" s="1" t="n"/>
      <c r="B19" s="29" t="n"/>
      <c r="C19" s="18" t="n"/>
      <c r="D19" s="18" t="n"/>
      <c r="E19" s="30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" t="n"/>
      <c r="O19" s="1" t="n"/>
    </row>
    <row r="20">
      <c r="A20" s="1" t="n"/>
      <c r="B20" s="27" t="n"/>
      <c r="C20" s="10" t="n"/>
      <c r="D20" s="10" t="n"/>
      <c r="E20" s="28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" t="n"/>
      <c r="O20" s="1" t="n"/>
    </row>
    <row r="21">
      <c r="A21" s="1" t="n"/>
      <c r="B21" s="29" t="n"/>
      <c r="C21" s="18" t="n"/>
      <c r="D21" s="18" t="n"/>
      <c r="E21" s="30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" t="n"/>
      <c r="O21" s="1" t="n"/>
    </row>
    <row r="22">
      <c r="A22" s="1" t="n"/>
      <c r="B22" s="27" t="n"/>
      <c r="C22" s="10" t="n"/>
      <c r="D22" s="10" t="n"/>
      <c r="E22" s="28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" t="n"/>
      <c r="O22" s="1" t="n"/>
    </row>
    <row r="23">
      <c r="A23" s="1" t="n"/>
      <c r="B23" s="29" t="n"/>
      <c r="C23" s="18" t="n"/>
      <c r="D23" s="18" t="n"/>
      <c r="E23" s="30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" t="n"/>
      <c r="O23" s="1" t="n"/>
    </row>
    <row r="24">
      <c r="A24" s="1" t="n"/>
      <c r="B24" s="27" t="n"/>
      <c r="C24" s="10" t="n"/>
      <c r="D24" s="10" t="n"/>
      <c r="E24" s="28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" t="n"/>
      <c r="O24" s="1" t="n"/>
    </row>
    <row r="25">
      <c r="A25" s="1" t="n"/>
      <c r="B25" s="29" t="n"/>
      <c r="C25" s="18" t="n"/>
      <c r="D25" s="18" t="n"/>
      <c r="E25" s="30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" t="n"/>
      <c r="O25" s="1" t="n"/>
    </row>
    <row r="26">
      <c r="A26" s="1" t="n"/>
      <c r="B26" s="27" t="n"/>
      <c r="C26" s="10" t="n"/>
      <c r="D26" s="10" t="n"/>
      <c r="E26" s="28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" t="n"/>
      <c r="O26" s="1" t="n"/>
    </row>
    <row r="27">
      <c r="A27" s="1" t="n"/>
      <c r="B27" s="29" t="n"/>
      <c r="C27" s="18" t="n"/>
      <c r="D27" s="18" t="n"/>
      <c r="E27" s="30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" t="n"/>
      <c r="O27" s="1" t="n"/>
    </row>
    <row r="28">
      <c r="A28" s="1" t="n"/>
      <c r="B28" s="27" t="n"/>
      <c r="C28" s="10" t="n"/>
      <c r="D28" s="10" t="n"/>
      <c r="E28" s="28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" t="n"/>
      <c r="O28" s="1" t="n"/>
    </row>
    <row r="29">
      <c r="A29" s="1" t="n"/>
      <c r="B29" s="29" t="n"/>
      <c r="C29" s="18" t="n"/>
      <c r="D29" s="18" t="n"/>
      <c r="E29" s="30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" t="n"/>
      <c r="O29" s="1" t="n"/>
    </row>
    <row r="30">
      <c r="A30" s="1" t="n"/>
      <c r="B30" s="27" t="n"/>
      <c r="C30" s="10" t="n"/>
      <c r="D30" s="10" t="n"/>
      <c r="E30" s="28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" t="n"/>
      <c r="O30" s="1" t="n"/>
    </row>
    <row r="31">
      <c r="A31" s="1" t="n"/>
      <c r="B31" s="29" t="n"/>
      <c r="C31" s="18" t="n"/>
      <c r="D31" s="18" t="n"/>
      <c r="E31" s="30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" t="n"/>
      <c r="O31" s="1" t="n"/>
    </row>
    <row r="32">
      <c r="A32" s="1" t="n"/>
      <c r="B32" s="27" t="n"/>
      <c r="C32" s="10" t="n"/>
      <c r="D32" s="10" t="n"/>
      <c r="E32" s="28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" t="n"/>
      <c r="O32" s="1" t="n"/>
    </row>
    <row r="33">
      <c r="A33" s="1" t="n"/>
      <c r="B33" s="29" t="n"/>
      <c r="C33" s="18" t="n"/>
      <c r="D33" s="18" t="n"/>
      <c r="E33" s="30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" t="n"/>
      <c r="O33" s="1" t="n"/>
    </row>
    <row r="34">
      <c r="A34" s="1" t="n"/>
      <c r="B34" s="27" t="n"/>
      <c r="C34" s="10" t="n"/>
      <c r="D34" s="10" t="n"/>
      <c r="E34" s="28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" t="n"/>
      <c r="O34" s="1" t="n"/>
    </row>
    <row r="35">
      <c r="A35" s="1" t="n"/>
      <c r="B35" s="29" t="n"/>
      <c r="C35" s="18" t="n"/>
      <c r="D35" s="18" t="n"/>
      <c r="E35" s="30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" t="n"/>
      <c r="O35" s="1" t="n"/>
    </row>
    <row r="36">
      <c r="A36" s="1" t="n"/>
      <c r="B36" s="27" t="n"/>
      <c r="C36" s="10" t="n"/>
      <c r="D36" s="10" t="n"/>
      <c r="E36" s="28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" t="n"/>
      <c r="O36" s="1" t="n"/>
    </row>
    <row r="37">
      <c r="A37" s="1" t="n"/>
      <c r="B37" s="29" t="n"/>
      <c r="C37" s="18" t="n"/>
      <c r="D37" s="18" t="n"/>
      <c r="E37" s="30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" t="n"/>
      <c r="O37" s="1" t="n"/>
    </row>
    <row r="38">
      <c r="A38" s="1" t="n"/>
      <c r="B38" s="27" t="n"/>
      <c r="C38" s="10" t="n"/>
      <c r="D38" s="10" t="n"/>
      <c r="E38" s="28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" t="n"/>
      <c r="O38" s="1" t="n"/>
    </row>
    <row r="39">
      <c r="A39" s="1" t="n"/>
      <c r="B39" s="29" t="n"/>
      <c r="C39" s="18" t="n"/>
      <c r="D39" s="18" t="n"/>
      <c r="E39" s="30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" t="n"/>
      <c r="O39" s="1" t="n"/>
    </row>
    <row r="40">
      <c r="A40" s="1" t="n"/>
      <c r="B40" s="27" t="n"/>
      <c r="C40" s="10" t="n"/>
      <c r="D40" s="10" t="n"/>
      <c r="E40" s="28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" t="n"/>
      <c r="O40" s="1" t="n"/>
    </row>
    <row r="41">
      <c r="A41" s="1" t="n"/>
      <c r="B41" s="29" t="n"/>
      <c r="C41" s="18" t="n"/>
      <c r="D41" s="18" t="n"/>
      <c r="E41" s="30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" t="n"/>
      <c r="O41" s="1" t="n"/>
    </row>
    <row r="42">
      <c r="A42" s="1" t="n"/>
      <c r="B42" s="27" t="n"/>
      <c r="C42" s="10" t="n"/>
      <c r="D42" s="10" t="n"/>
      <c r="E42" s="28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" t="n"/>
      <c r="O42" s="1" t="n"/>
    </row>
    <row r="43">
      <c r="A43" s="1" t="n"/>
      <c r="B43" s="29" t="n"/>
      <c r="C43" s="18" t="n"/>
      <c r="D43" s="18" t="n"/>
      <c r="E43" s="30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" t="n"/>
      <c r="O43" s="1" t="n"/>
    </row>
    <row r="44">
      <c r="A44" s="1" t="n"/>
      <c r="B44" s="27" t="n"/>
      <c r="C44" s="10" t="n"/>
      <c r="D44" s="10" t="n"/>
      <c r="E44" s="28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" t="n"/>
      <c r="O44" s="1" t="n"/>
    </row>
    <row r="45">
      <c r="A45" s="1" t="n"/>
      <c r="B45" s="29" t="n"/>
      <c r="C45" s="18" t="n"/>
      <c r="D45" s="18" t="n"/>
      <c r="E45" s="30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" t="n"/>
      <c r="O45" s="1" t="n"/>
    </row>
    <row r="46">
      <c r="A46" s="1" t="n"/>
      <c r="B46" s="27" t="n"/>
      <c r="C46" s="10" t="n"/>
      <c r="D46" s="10" t="n"/>
      <c r="E46" s="28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" t="n"/>
      <c r="O46" s="1" t="n"/>
    </row>
    <row r="47">
      <c r="A47" s="1" t="n"/>
      <c r="B47" s="29" t="n"/>
      <c r="C47" s="18" t="n"/>
      <c r="D47" s="18" t="n"/>
      <c r="E47" s="30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" t="n"/>
      <c r="O47" s="1" t="n"/>
    </row>
    <row r="48">
      <c r="A48" s="1" t="n"/>
      <c r="B48" s="27" t="n"/>
      <c r="C48" s="10" t="n"/>
      <c r="D48" s="10" t="n"/>
      <c r="E48" s="28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" t="n"/>
      <c r="O48" s="1" t="n"/>
    </row>
    <row r="49">
      <c r="A49" s="1" t="n"/>
      <c r="B49" s="29" t="n"/>
      <c r="C49" s="18" t="n"/>
      <c r="D49" s="18" t="n"/>
      <c r="E49" s="30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" t="n"/>
      <c r="O49" s="1" t="n"/>
    </row>
    <row r="50">
      <c r="A50" s="1" t="n"/>
      <c r="B50" s="27" t="n"/>
      <c r="C50" s="10" t="n"/>
      <c r="D50" s="10" t="n"/>
      <c r="E50" s="28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" t="n"/>
      <c r="O50" s="1" t="n"/>
    </row>
    <row r="51">
      <c r="A51" s="1" t="n"/>
      <c r="B51" s="29" t="n"/>
      <c r="C51" s="18" t="n"/>
      <c r="D51" s="18" t="n"/>
      <c r="E51" s="30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" t="n"/>
      <c r="O51" s="1" t="n"/>
    </row>
    <row r="52">
      <c r="A52" s="1" t="n"/>
      <c r="B52" s="27" t="n"/>
      <c r="C52" s="10" t="n"/>
      <c r="D52" s="10" t="n"/>
      <c r="E52" s="28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" t="n"/>
      <c r="O52" s="1" t="n"/>
    </row>
    <row r="53">
      <c r="A53" s="1" t="n"/>
      <c r="B53" s="29" t="n"/>
      <c r="C53" s="18" t="n"/>
      <c r="D53" s="18" t="n"/>
      <c r="E53" s="30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" t="n"/>
      <c r="O53" s="1" t="n"/>
    </row>
    <row r="54">
      <c r="A54" s="1" t="n"/>
      <c r="B54" s="27" t="n"/>
      <c r="C54" s="10" t="n"/>
      <c r="D54" s="10" t="n"/>
      <c r="E54" s="28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" t="n"/>
      <c r="O54" s="1" t="n"/>
    </row>
    <row r="55">
      <c r="A55" s="1" t="n"/>
      <c r="B55" s="29" t="n"/>
      <c r="C55" s="18" t="n"/>
      <c r="D55" s="18" t="n"/>
      <c r="E55" s="30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" t="n"/>
      <c r="O55" s="1" t="n"/>
    </row>
    <row r="56">
      <c r="A56" s="1" t="n"/>
      <c r="B56" s="27" t="n"/>
      <c r="C56" s="10" t="n"/>
      <c r="D56" s="10" t="n"/>
      <c r="E56" s="28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" t="n"/>
      <c r="O56" s="1" t="n"/>
    </row>
    <row r="57">
      <c r="A57" s="1" t="n"/>
      <c r="B57" s="29" t="n"/>
      <c r="C57" s="18" t="n"/>
      <c r="D57" s="18" t="n"/>
      <c r="E57" s="30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" t="n"/>
      <c r="O57" s="1" t="n"/>
    </row>
    <row r="58">
      <c r="A58" s="1" t="n"/>
      <c r="B58" s="27" t="n"/>
      <c r="C58" s="10" t="n"/>
      <c r="D58" s="10" t="n"/>
      <c r="E58" s="28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" t="n"/>
      <c r="O58" s="1" t="n"/>
    </row>
    <row r="59">
      <c r="A59" s="1" t="n"/>
      <c r="B59" s="29" t="n"/>
      <c r="C59" s="18" t="n"/>
      <c r="D59" s="18" t="n"/>
      <c r="E59" s="30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" t="n"/>
      <c r="O59" s="1" t="n"/>
    </row>
    <row r="60">
      <c r="A60" s="1" t="n"/>
      <c r="B60" s="27" t="n"/>
      <c r="C60" s="10" t="n"/>
      <c r="D60" s="10" t="n"/>
      <c r="E60" s="28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" t="n"/>
      <c r="O60" s="1" t="n"/>
    </row>
    <row r="61">
      <c r="A61" s="1" t="n"/>
      <c r="B61" s="29" t="n"/>
      <c r="C61" s="18" t="n"/>
      <c r="D61" s="18" t="n"/>
      <c r="E61" s="30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" t="n"/>
      <c r="O61" s="1" t="n"/>
    </row>
    <row r="62">
      <c r="A62" s="1" t="n"/>
      <c r="B62" s="27" t="n"/>
      <c r="C62" s="10" t="n"/>
      <c r="D62" s="10" t="n"/>
      <c r="E62" s="28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" t="n"/>
      <c r="O62" s="1" t="n"/>
    </row>
    <row r="63">
      <c r="A63" s="1" t="n"/>
      <c r="B63" s="29" t="n"/>
      <c r="C63" s="18" t="n"/>
      <c r="D63" s="18" t="n"/>
      <c r="E63" s="30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" t="n"/>
      <c r="O63" s="1" t="n"/>
    </row>
    <row r="64">
      <c r="A64" s="1" t="n"/>
      <c r="B64" s="27" t="n"/>
      <c r="C64" s="10" t="n"/>
      <c r="D64" s="10" t="n"/>
      <c r="E64" s="28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" t="n"/>
      <c r="O64" s="1" t="n"/>
    </row>
    <row r="65">
      <c r="A65" s="1" t="n"/>
      <c r="B65" s="29" t="n"/>
      <c r="C65" s="18" t="n"/>
      <c r="D65" s="18" t="n"/>
      <c r="E65" s="30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" t="n"/>
      <c r="O65" s="1" t="n"/>
    </row>
    <row r="66">
      <c r="A66" s="1" t="n"/>
      <c r="B66" s="27" t="n"/>
      <c r="C66" s="10" t="n"/>
      <c r="D66" s="10" t="n"/>
      <c r="E66" s="28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" t="n"/>
      <c r="O66" s="1" t="n"/>
    </row>
    <row r="67">
      <c r="A67" s="1" t="n"/>
      <c r="B67" s="29" t="n"/>
      <c r="C67" s="18" t="n"/>
      <c r="D67" s="18" t="n"/>
      <c r="E67" s="30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" t="n"/>
      <c r="O67" s="1" t="n"/>
    </row>
    <row r="68">
      <c r="A68" s="1" t="n"/>
      <c r="B68" s="27" t="n"/>
      <c r="C68" s="10" t="n"/>
      <c r="D68" s="10" t="n"/>
      <c r="E68" s="28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" t="n"/>
      <c r="O68" s="1" t="n"/>
    </row>
    <row r="69">
      <c r="A69" s="1" t="n"/>
      <c r="B69" s="29" t="n"/>
      <c r="C69" s="18" t="n"/>
      <c r="D69" s="18" t="n"/>
      <c r="E69" s="30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" t="n"/>
      <c r="O69" s="1" t="n"/>
    </row>
    <row r="70">
      <c r="A70" s="1" t="n"/>
      <c r="B70" s="27" t="n"/>
      <c r="C70" s="10" t="n"/>
      <c r="D70" s="10" t="n"/>
      <c r="E70" s="28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" t="n"/>
      <c r="O70" s="1" t="n"/>
    </row>
    <row r="71">
      <c r="A71" s="1" t="n"/>
      <c r="B71" s="29" t="n"/>
      <c r="C71" s="18" t="n"/>
      <c r="D71" s="18" t="n"/>
      <c r="E71" s="30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" t="n"/>
      <c r="O71" s="1" t="n"/>
    </row>
    <row r="72">
      <c r="A72" s="1" t="n"/>
      <c r="B72" s="27" t="n"/>
      <c r="C72" s="10" t="n"/>
      <c r="D72" s="10" t="n"/>
      <c r="E72" s="28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" t="n"/>
      <c r="O72" s="1" t="n"/>
    </row>
    <row r="73">
      <c r="A73" s="1" t="n"/>
      <c r="B73" s="29" t="n"/>
      <c r="C73" s="18" t="n"/>
      <c r="D73" s="18" t="n"/>
      <c r="E73" s="30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" t="n"/>
      <c r="O73" s="1" t="n"/>
    </row>
    <row r="74">
      <c r="A74" s="1" t="n"/>
      <c r="B74" s="27" t="n"/>
      <c r="C74" s="10" t="n"/>
      <c r="D74" s="10" t="n"/>
      <c r="E74" s="28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" t="n"/>
      <c r="O74" s="1" t="n"/>
    </row>
    <row r="75">
      <c r="A75" s="1" t="n"/>
      <c r="B75" s="29" t="n"/>
      <c r="C75" s="18" t="n"/>
      <c r="D75" s="18" t="n"/>
      <c r="E75" s="30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" t="n"/>
      <c r="O75" s="1" t="n"/>
    </row>
    <row r="76">
      <c r="A76" s="1" t="n"/>
      <c r="B76" s="27" t="n"/>
      <c r="C76" s="10" t="n"/>
      <c r="D76" s="10" t="n"/>
      <c r="E76" s="28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" t="n"/>
      <c r="O76" s="1" t="n"/>
    </row>
    <row r="77">
      <c r="A77" s="1" t="n"/>
      <c r="B77" s="29" t="n"/>
      <c r="C77" s="18" t="n"/>
      <c r="D77" s="18" t="n"/>
      <c r="E77" s="30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" t="n"/>
      <c r="O77" s="1" t="n"/>
    </row>
    <row r="78">
      <c r="A78" s="1" t="n"/>
      <c r="B78" s="27" t="n"/>
      <c r="C78" s="10" t="n"/>
      <c r="D78" s="10" t="n"/>
      <c r="E78" s="28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" t="n"/>
      <c r="O78" s="1" t="n"/>
    </row>
    <row r="79">
      <c r="A79" s="1" t="n"/>
      <c r="B79" s="29" t="n"/>
      <c r="C79" s="18" t="n"/>
      <c r="D79" s="18" t="n"/>
      <c r="E79" s="30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" t="n"/>
      <c r="O79" s="1" t="n"/>
    </row>
    <row r="80">
      <c r="A80" s="1" t="n"/>
      <c r="B80" s="27" t="n"/>
      <c r="C80" s="10" t="n"/>
      <c r="D80" s="10" t="n"/>
      <c r="E80" s="28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" t="n"/>
      <c r="O80" s="1" t="n"/>
    </row>
    <row r="81">
      <c r="A81" s="1" t="n"/>
      <c r="B81" s="29" t="n"/>
      <c r="C81" s="18" t="n"/>
      <c r="D81" s="18" t="n"/>
      <c r="E81" s="30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" t="n"/>
      <c r="O81" s="1" t="n"/>
    </row>
    <row r="82">
      <c r="A82" s="1" t="n"/>
      <c r="B82" s="27" t="n"/>
      <c r="C82" s="10" t="n"/>
      <c r="D82" s="10" t="n"/>
      <c r="E82" s="28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" t="n"/>
      <c r="O82" s="1" t="n"/>
    </row>
    <row r="83">
      <c r="A83" s="1" t="n"/>
      <c r="B83" s="29" t="n"/>
      <c r="C83" s="18" t="n"/>
      <c r="D83" s="18" t="n"/>
      <c r="E83" s="30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" t="n"/>
      <c r="O83" s="1" t="n"/>
    </row>
    <row r="84">
      <c r="A84" s="1" t="n"/>
      <c r="B84" s="27" t="n"/>
      <c r="C84" s="10" t="n"/>
      <c r="D84" s="10" t="n"/>
      <c r="E84" s="28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" t="n"/>
      <c r="O84" s="1" t="n"/>
    </row>
    <row r="85">
      <c r="A85" s="1" t="n"/>
      <c r="B85" s="29" t="n"/>
      <c r="C85" s="18" t="n"/>
      <c r="D85" s="18" t="n"/>
      <c r="E85" s="30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" t="n"/>
      <c r="O85" s="1" t="n"/>
    </row>
    <row r="86">
      <c r="A86" s="1" t="n"/>
      <c r="B86" s="27" t="n"/>
      <c r="C86" s="10" t="n"/>
      <c r="D86" s="10" t="n"/>
      <c r="E86" s="28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" t="n"/>
      <c r="O86" s="1" t="n"/>
    </row>
    <row r="87">
      <c r="A87" s="1" t="n"/>
      <c r="B87" s="29" t="n"/>
      <c r="C87" s="18" t="n"/>
      <c r="D87" s="18" t="n"/>
      <c r="E87" s="30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" t="n"/>
      <c r="O87" s="1" t="n"/>
    </row>
    <row r="88">
      <c r="A88" s="1" t="n"/>
      <c r="B88" s="27" t="n"/>
      <c r="C88" s="10" t="n"/>
      <c r="D88" s="10" t="n"/>
      <c r="E88" s="28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" t="n"/>
      <c r="O88" s="1" t="n"/>
    </row>
    <row r="89">
      <c r="A89" s="1" t="n"/>
      <c r="B89" s="29" t="n"/>
      <c r="C89" s="18" t="n"/>
      <c r="D89" s="18" t="n"/>
      <c r="E89" s="30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" t="n"/>
      <c r="O89" s="1" t="n"/>
    </row>
    <row r="90">
      <c r="A90" s="1" t="n"/>
      <c r="B90" s="27" t="n"/>
      <c r="C90" s="10" t="n"/>
      <c r="D90" s="10" t="n"/>
      <c r="E90" s="28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" t="n"/>
      <c r="O90" s="1" t="n"/>
    </row>
    <row r="91">
      <c r="A91" s="1" t="n"/>
      <c r="B91" s="29" t="n"/>
      <c r="C91" s="18" t="n"/>
      <c r="D91" s="18" t="n"/>
      <c r="E91" s="30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" t="n"/>
      <c r="O91" s="1" t="n"/>
    </row>
    <row r="92">
      <c r="A92" s="1" t="n"/>
      <c r="B92" s="27" t="n"/>
      <c r="C92" s="10" t="n"/>
      <c r="D92" s="10" t="n"/>
      <c r="E92" s="28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" t="n"/>
      <c r="O92" s="1" t="n"/>
    </row>
    <row r="93">
      <c r="A93" s="1" t="n"/>
      <c r="B93" s="29" t="n"/>
      <c r="C93" s="18" t="n"/>
      <c r="D93" s="18" t="n"/>
      <c r="E93" s="30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" t="n"/>
      <c r="O93" s="1" t="n"/>
    </row>
    <row r="94">
      <c r="A94" s="1" t="n"/>
      <c r="B94" s="27" t="n"/>
      <c r="C94" s="10" t="n"/>
      <c r="D94" s="10" t="n"/>
      <c r="E94" s="28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" t="n"/>
      <c r="O94" s="1" t="n"/>
    </row>
    <row r="95">
      <c r="A95" s="1" t="n"/>
      <c r="B95" s="29" t="n"/>
      <c r="C95" s="18" t="n"/>
      <c r="D95" s="18" t="n"/>
      <c r="E95" s="30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" t="n"/>
      <c r="O95" s="1" t="n"/>
    </row>
    <row r="96">
      <c r="A96" s="1" t="n"/>
      <c r="B96" s="27" t="n"/>
      <c r="C96" s="10" t="n"/>
      <c r="D96" s="10" t="n"/>
      <c r="E96" s="28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" t="n"/>
      <c r="O96" s="1" t="n"/>
    </row>
    <row r="97">
      <c r="A97" s="1" t="n"/>
      <c r="B97" s="29" t="n"/>
      <c r="C97" s="18" t="n"/>
      <c r="D97" s="18" t="n"/>
      <c r="E97" s="30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" t="n"/>
      <c r="O97" s="1" t="n"/>
    </row>
    <row r="98">
      <c r="A98" s="1" t="n"/>
      <c r="B98" s="27" t="n"/>
      <c r="C98" s="10" t="n"/>
      <c r="D98" s="10" t="n"/>
      <c r="E98" s="28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" t="n"/>
      <c r="O98" s="1" t="n"/>
    </row>
    <row r="99">
      <c r="A99" s="1" t="n"/>
      <c r="B99" s="29" t="n"/>
      <c r="C99" s="18" t="n"/>
      <c r="D99" s="18" t="n"/>
      <c r="E99" s="30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" t="n"/>
      <c r="O99" s="1" t="n"/>
    </row>
    <row r="100">
      <c r="A100" s="1" t="n"/>
      <c r="B100" s="27" t="n"/>
      <c r="C100" s="10" t="n"/>
      <c r="D100" s="10" t="n"/>
      <c r="E100" s="28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" t="n"/>
      <c r="O100" s="1" t="n"/>
    </row>
    <row r="101">
      <c r="A101" s="1" t="n"/>
      <c r="B101" s="29" t="n"/>
      <c r="C101" s="18" t="n"/>
      <c r="D101" s="18" t="n"/>
      <c r="E101" s="30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" t="n"/>
      <c r="O101" s="1" t="n"/>
    </row>
    <row r="102">
      <c r="A102" s="1" t="n"/>
      <c r="B102" s="27" t="n"/>
      <c r="C102" s="10" t="n"/>
      <c r="D102" s="10" t="n"/>
      <c r="E102" s="28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" t="n"/>
      <c r="O102" s="1" t="n"/>
    </row>
    <row r="103">
      <c r="A103" s="1" t="n"/>
      <c r="B103" s="29" t="n"/>
      <c r="C103" s="18" t="n"/>
      <c r="D103" s="18" t="n"/>
      <c r="E103" s="30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" t="n"/>
      <c r="O103" s="1" t="n"/>
    </row>
    <row r="104">
      <c r="A104" s="1" t="n"/>
      <c r="B104" s="27" t="n"/>
      <c r="C104" s="10" t="n"/>
      <c r="D104" s="10" t="n"/>
      <c r="E104" s="28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" t="n"/>
      <c r="O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</sheetData>
  <mergeCells count="1">
    <mergeCell ref="B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3D3D"/>
    <outlinePr summaryBelow="1" summaryRight="1"/>
    <pageSetUpPr/>
  </sheetPr>
  <dimension ref="A1:Q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3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41" t="inlineStr">
        <is>
          <t>PRÉPARATION COMPÉTITION CBL</t>
        </is>
      </c>
      <c r="N2" s="1" t="n"/>
      <c r="O2" s="1" t="n"/>
      <c r="P2" s="1" t="n"/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0" customHeight="1">
      <c r="A4" s="1" t="n"/>
      <c r="B4" s="61" t="inlineStr">
        <is>
          <t>DATE COMPÉTITION:</t>
        </is>
      </c>
      <c r="C4" s="62" t="n">
        <v>46266</v>
      </c>
      <c r="D4" s="61" t="inlineStr">
        <is>
          <t>JOURS RESTANTS:</t>
        </is>
      </c>
      <c r="E4" s="63">
        <f>DATEDIF(TODAY(),C4,"D")</f>
        <v/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22" customHeight="1">
      <c r="A6" s="1" t="n"/>
      <c r="B6" s="64" t="inlineStr">
        <is>
          <t>CHECKLIST PRÉPARATION</t>
        </is>
      </c>
      <c r="N6" s="1" t="n"/>
      <c r="O6" s="1" t="n"/>
      <c r="P6" s="1" t="n"/>
      <c r="Q6" s="1" t="n"/>
    </row>
    <row r="7" ht="22" customHeight="1">
      <c r="A7" s="1" t="n"/>
      <c r="B7" s="31" t="inlineStr">
        <is>
          <t>#</t>
        </is>
      </c>
      <c r="C7" s="31" t="inlineStr">
        <is>
          <t>Élément</t>
        </is>
      </c>
      <c r="D7" s="31" t="inlineStr">
        <is>
          <t>Statut</t>
        </is>
      </c>
      <c r="E7" s="31" t="inlineStr">
        <is>
          <t>Délai</t>
        </is>
      </c>
      <c r="F7" s="31" t="inlineStr">
        <is>
          <t>Notes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20" customHeight="1">
      <c r="A8" s="1" t="n"/>
      <c r="B8" s="48" t="n">
        <v>1</v>
      </c>
      <c r="C8" s="28" t="inlineStr">
        <is>
          <t>[Physique] Compléter le plan 12 semaines</t>
        </is>
      </c>
      <c r="D8" s="65" t="inlineStr">
        <is>
          <t>En cours</t>
        </is>
      </c>
      <c r="E8" s="11" t="inlineStr">
        <is>
          <t>S12</t>
        </is>
      </c>
      <c r="F8" s="51" t="inlineStr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0" customHeight="1">
      <c r="A9" s="1" t="n"/>
      <c r="B9" s="8" t="n">
        <v>2</v>
      </c>
      <c r="C9" s="30" t="inlineStr">
        <is>
          <t>[Physique] Tester circuit CBL complet en &lt;6 min</t>
        </is>
      </c>
      <c r="D9" s="60" t="inlineStr">
        <is>
          <t>À faire</t>
        </is>
      </c>
      <c r="E9" s="19" t="inlineStr">
        <is>
          <t>S10</t>
        </is>
      </c>
      <c r="F9" s="54" t="inlineStr">
        <is>
          <t>OQ7 Amateur R1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20" customHeight="1">
      <c r="A10" s="1" t="n"/>
      <c r="B10" s="48" t="n">
        <v>3</v>
      </c>
      <c r="C10" s="28" t="inlineStr">
        <is>
          <t>[Physique] Simulation 2 sets enchaînés</t>
        </is>
      </c>
      <c r="D10" s="66" t="inlineStr">
        <is>
          <t>À faire</t>
        </is>
      </c>
      <c r="E10" s="11" t="inlineStr">
        <is>
          <t>S10</t>
        </is>
      </c>
      <c r="F10" s="51" t="inlineStr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0" customHeight="1">
      <c r="A11" s="1" t="n"/>
      <c r="B11" s="8" t="n">
        <v>4</v>
      </c>
      <c r="C11" s="30" t="inlineStr">
        <is>
          <t>[Physique] Test maxi tractions (objectif: 30)</t>
        </is>
      </c>
      <c r="D11" s="60" t="inlineStr">
        <is>
          <t>À faire</t>
        </is>
      </c>
      <c r="E11" s="19" t="inlineStr">
        <is>
          <t>S8 + S12</t>
        </is>
      </c>
      <c r="F11" s="54" t="inlineStr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20" customHeight="1">
      <c r="A12" s="1" t="n"/>
      <c r="B12" s="48" t="n">
        <v>5</v>
      </c>
      <c r="C12" s="28" t="inlineStr">
        <is>
          <t>[Physique] Test maxi muscle-up (objectif: 12)</t>
        </is>
      </c>
      <c r="D12" s="66" t="inlineStr">
        <is>
          <t>À faire</t>
        </is>
      </c>
      <c r="E12" s="11" t="inlineStr">
        <is>
          <t>S8 + S12</t>
        </is>
      </c>
      <c r="F12" s="51" t="inlineStr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20" customHeight="1">
      <c r="A13" s="1" t="n"/>
      <c r="B13" s="8" t="n">
        <v>6</v>
      </c>
      <c r="C13" s="30" t="inlineStr">
        <is>
          <t>[Logistique] Vérifier inscription CBL</t>
        </is>
      </c>
      <c r="D13" s="60" t="inlineStr">
        <is>
          <t>À faire</t>
        </is>
      </c>
      <c r="E13" s="19" t="inlineStr">
        <is>
          <t>8 sem avant</t>
        </is>
      </c>
      <c r="F13" s="54" t="inlineStr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20" customHeight="1">
      <c r="A14" s="1" t="n"/>
      <c r="B14" s="48" t="n">
        <v>7</v>
      </c>
      <c r="C14" s="28" t="inlineStr">
        <is>
          <t>[Logistique] Confirmer les divisions et circuits attendus</t>
        </is>
      </c>
      <c r="D14" s="66" t="inlineStr">
        <is>
          <t>À faire</t>
        </is>
      </c>
      <c r="E14" s="11" t="inlineStr">
        <is>
          <t>4 sem avant</t>
        </is>
      </c>
      <c r="F14" s="51" t="inlineStr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20" customHeight="1">
      <c r="A15" s="1" t="n"/>
      <c r="B15" s="8" t="n">
        <v>8</v>
      </c>
      <c r="C15" s="30" t="inlineStr">
        <is>
          <t>[Logistique] Transport + hébergement</t>
        </is>
      </c>
      <c r="D15" s="60" t="inlineStr">
        <is>
          <t>À faire</t>
        </is>
      </c>
      <c r="E15" s="19" t="inlineStr">
        <is>
          <t>6 sem avant</t>
        </is>
      </c>
      <c r="F15" s="54" t="inlineStr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20" customHeight="1">
      <c r="A16" s="1" t="n"/>
      <c r="B16" s="48" t="n">
        <v>9</v>
      </c>
      <c r="C16" s="28" t="inlineStr">
        <is>
          <t>[Matériel] Tenu de compétition</t>
        </is>
      </c>
      <c r="D16" s="66" t="inlineStr">
        <is>
          <t>À faire</t>
        </is>
      </c>
      <c r="E16" s="11" t="inlineStr">
        <is>
          <t>4 sem avant</t>
        </is>
      </c>
      <c r="F16" s="51" t="inlineStr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20" customHeight="1">
      <c r="A17" s="1" t="n"/>
      <c r="B17" s="8" t="n">
        <v>10</v>
      </c>
      <c r="C17" s="30" t="inlineStr">
        <is>
          <t>[Matériel] Magnésie + grip support</t>
        </is>
      </c>
      <c r="D17" s="60" t="inlineStr">
        <is>
          <t>À faire</t>
        </is>
      </c>
      <c r="E17" s="19" t="inlineStr">
        <is>
          <t>J-7</t>
        </is>
      </c>
      <c r="F17" s="54" t="inlineStr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20" customHeight="1">
      <c r="A18" s="1" t="n"/>
      <c r="B18" s="48" t="n">
        <v>11</v>
      </c>
      <c r="C18" s="28" t="inlineStr">
        <is>
          <t>[Mental] Visualisation circuit CBL x10</t>
        </is>
      </c>
      <c r="D18" s="65" t="inlineStr">
        <is>
          <t>En cours</t>
        </is>
      </c>
      <c r="E18" s="11" t="inlineStr">
        <is>
          <t>Continu</t>
        </is>
      </c>
      <c r="F18" s="51" t="inlineStr">
        <is>
          <t>5 min/jour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0" customHeight="1">
      <c r="A19" s="1" t="n"/>
      <c r="B19" s="8" t="n">
        <v>12</v>
      </c>
      <c r="C19" s="30" t="inlineStr">
        <is>
          <t>[Mental] Protocole warm-up jour J</t>
        </is>
      </c>
      <c r="D19" s="60" t="inlineStr">
        <is>
          <t>À faire</t>
        </is>
      </c>
      <c r="E19" s="19" t="inlineStr">
        <is>
          <t>S10</t>
        </is>
      </c>
      <c r="F19" s="54" t="inlineStr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20" customHeight="1">
      <c r="A20" s="1" t="n"/>
      <c r="B20" s="48" t="n">
        <v>13</v>
      </c>
      <c r="C20" s="28" t="inlineStr">
        <is>
          <t>[Récup] Bilan kiné / physio si besoin</t>
        </is>
      </c>
      <c r="D20" s="66" t="inlineStr">
        <is>
          <t>À faire</t>
        </is>
      </c>
      <c r="E20" s="11" t="inlineStr">
        <is>
          <t>S10</t>
        </is>
      </c>
      <c r="F20" s="51" t="inlineStr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20" customHeight="1">
      <c r="A21" s="1" t="n"/>
      <c r="B21" s="8" t="n">
        <v>14</v>
      </c>
      <c r="C21" s="30" t="inlineStr">
        <is>
          <t>[Récup] Protocole sommeil la semaine avant</t>
        </is>
      </c>
      <c r="D21" s="60" t="inlineStr">
        <is>
          <t>À faire</t>
        </is>
      </c>
      <c r="E21" s="19" t="inlineStr">
        <is>
          <t>J-7</t>
        </is>
      </c>
      <c r="F21" s="54" t="inlineStr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</sheetData>
  <mergeCells count="2">
    <mergeCell ref="B6:M6"/>
    <mergeCell ref="B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2026-04-04T16:49:56Z</dcterms:created>
  <dcterms:modified xmlns:dcterms="http://purl.org/dc/terms/" xmlns:xsi="http://www.w3.org/2001/XMLSchema-instance" xsi:type="dcterms:W3CDTF">2026-04-04T16:49:57Z</dcterms:modified>
</cp:coreProperties>
</file>